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y\Downloads\"/>
    </mc:Choice>
  </mc:AlternateContent>
  <xr:revisionPtr revIDLastSave="0" documentId="8_{5E58CB15-5366-4C06-960E-EA005D496D83}" xr6:coauthVersionLast="47" xr6:coauthVersionMax="47" xr10:uidLastSave="{00000000-0000-0000-0000-000000000000}"/>
  <bookViews>
    <workbookView xWindow="-108" yWindow="-108" windowWidth="23256" windowHeight="12456" firstSheet="3" activeTab="14" xr2:uid="{2EB73861-4C67-4F3D-AABB-C9877145D220}"/>
  </bookViews>
  <sheets>
    <sheet name="1-lp" sheetId="7" r:id="rId1"/>
    <sheet name="1-ip" sheetId="8" r:id="rId2"/>
    <sheet name="2-lp" sheetId="9" r:id="rId3"/>
    <sheet name="2-ip" sheetId="10" r:id="rId4"/>
    <sheet name="3-lp" sheetId="11" r:id="rId5"/>
    <sheet name="3-ip" sheetId="12" r:id="rId6"/>
    <sheet name="4-lp" sheetId="13" r:id="rId7"/>
    <sheet name="4-ip" sheetId="14" r:id="rId8"/>
    <sheet name="5-lp" sheetId="1" r:id="rId9"/>
    <sheet name="5-ip" sheetId="2" r:id="rId10"/>
    <sheet name="6-lp" sheetId="3" r:id="rId11"/>
    <sheet name="6-ip" sheetId="4" r:id="rId12"/>
    <sheet name="7-lp" sheetId="5" r:id="rId13"/>
    <sheet name="7-ip" sheetId="6" r:id="rId14"/>
    <sheet name="Benchmark Evaluation" sheetId="15" r:id="rId15"/>
  </sheets>
  <definedNames>
    <definedName name="solver_adj" localSheetId="9" hidden="1">'5-ip'!$B$17:$B$44</definedName>
    <definedName name="solver_adj" localSheetId="8" hidden="1">'5-lp'!$B$18:$B$45</definedName>
    <definedName name="solver_adj" localSheetId="11" hidden="1">'6-ip'!$B$12:$B$50</definedName>
    <definedName name="solver_adj" localSheetId="10" hidden="1">'6-lp'!$B$13:$B$51</definedName>
    <definedName name="solver_adj" localSheetId="13" hidden="1">'7-ip'!$B$13:$B$62</definedName>
    <definedName name="solver_adj" localSheetId="12" hidden="1">'7-lp'!$B$13:$B$62</definedName>
    <definedName name="solver_cvg" localSheetId="9" hidden="1">0.0001</definedName>
    <definedName name="solver_cvg" localSheetId="8" hidden="1">0.0001</definedName>
    <definedName name="solver_cvg" localSheetId="11" hidden="1">0.0001</definedName>
    <definedName name="solver_cvg" localSheetId="10" hidden="1">0.0001</definedName>
    <definedName name="solver_cvg" localSheetId="13" hidden="1">0.0001</definedName>
    <definedName name="solver_cvg" localSheetId="12" hidden="1">0.0001</definedName>
    <definedName name="solver_drv" localSheetId="9" hidden="1">1</definedName>
    <definedName name="solver_drv" localSheetId="8" hidden="1">2</definedName>
    <definedName name="solver_drv" localSheetId="11" hidden="1">1</definedName>
    <definedName name="solver_drv" localSheetId="10" hidden="1">1</definedName>
    <definedName name="solver_drv" localSheetId="13" hidden="1">2</definedName>
    <definedName name="solver_drv" localSheetId="12" hidden="1">1</definedName>
    <definedName name="solver_eng" localSheetId="9" hidden="1">2</definedName>
    <definedName name="solver_eng" localSheetId="8" hidden="1">2</definedName>
    <definedName name="solver_eng" localSheetId="11" hidden="1">2</definedName>
    <definedName name="solver_eng" localSheetId="10" hidden="1">2</definedName>
    <definedName name="solver_eng" localSheetId="13" hidden="1">2</definedName>
    <definedName name="solver_eng" localSheetId="12" hidden="1">2</definedName>
    <definedName name="solver_est" localSheetId="9" hidden="1">1</definedName>
    <definedName name="solver_est" localSheetId="8" hidden="1">1</definedName>
    <definedName name="solver_est" localSheetId="11" hidden="1">1</definedName>
    <definedName name="solver_est" localSheetId="10" hidden="1">1</definedName>
    <definedName name="solver_est" localSheetId="13" hidden="1">1</definedName>
    <definedName name="solver_est" localSheetId="12" hidden="1">1</definedName>
    <definedName name="solver_itr" localSheetId="9" hidden="1">2147483647</definedName>
    <definedName name="solver_itr" localSheetId="8" hidden="1">2147483647</definedName>
    <definedName name="solver_itr" localSheetId="11" hidden="1">2147483647</definedName>
    <definedName name="solver_itr" localSheetId="10" hidden="1">2147483647</definedName>
    <definedName name="solver_itr" localSheetId="13" hidden="1">2147483647</definedName>
    <definedName name="solver_itr" localSheetId="12" hidden="1">2147483647</definedName>
    <definedName name="solver_lhs1" localSheetId="9" hidden="1">'5-ip'!$AE$5:$AE$14</definedName>
    <definedName name="solver_lhs1" localSheetId="8" hidden="1">'5-lp'!$AE$5:$AE$14</definedName>
    <definedName name="solver_lhs1" localSheetId="11" hidden="1">'6-ip'!$AP$5:$AP$9</definedName>
    <definedName name="solver_lhs1" localSheetId="10" hidden="1">'6-lp'!$AP$5:$AP$9</definedName>
    <definedName name="solver_lhs1" localSheetId="13" hidden="1">'7-ip'!$B$13:$B$62</definedName>
    <definedName name="solver_lhs1" localSheetId="12" hidden="1">'7-lp'!$B$13:$B$62</definedName>
    <definedName name="solver_lhs2" localSheetId="9" hidden="1">'5-ip'!$B$17:$B$44</definedName>
    <definedName name="solver_lhs2" localSheetId="8" hidden="1">'5-lp'!$B$18:$B$45</definedName>
    <definedName name="solver_lhs2" localSheetId="11" hidden="1">'6-ip'!$B$12:$B$50</definedName>
    <definedName name="solver_lhs2" localSheetId="10" hidden="1">'6-lp'!$B$13:$B$51</definedName>
    <definedName name="solver_lhs2" localSheetId="13" hidden="1">'7-ip'!$BA$5:$BA$9</definedName>
    <definedName name="solver_lhs2" localSheetId="12" hidden="1">'7-lp'!$B$13:$B$62</definedName>
    <definedName name="solver_lhs3" localSheetId="8" hidden="1">'5-lp'!$B$18:$B$45</definedName>
    <definedName name="solver_lhs3" localSheetId="10" hidden="1">'6-lp'!$B$13:$B$51</definedName>
    <definedName name="solver_lhs3" localSheetId="12" hidden="1">'7-lp'!$BA$5:$BA$9</definedName>
    <definedName name="solver_mip" localSheetId="9" hidden="1">2147483647</definedName>
    <definedName name="solver_mip" localSheetId="8" hidden="1">2147483647</definedName>
    <definedName name="solver_mip" localSheetId="11" hidden="1">2147483647</definedName>
    <definedName name="solver_mip" localSheetId="10" hidden="1">2147483647</definedName>
    <definedName name="solver_mip" localSheetId="13" hidden="1">2147483647</definedName>
    <definedName name="solver_mip" localSheetId="12" hidden="1">2147483647</definedName>
    <definedName name="solver_mni" localSheetId="9" hidden="1">30</definedName>
    <definedName name="solver_mni" localSheetId="8" hidden="1">30</definedName>
    <definedName name="solver_mni" localSheetId="11" hidden="1">30</definedName>
    <definedName name="solver_mni" localSheetId="10" hidden="1">30</definedName>
    <definedName name="solver_mni" localSheetId="13" hidden="1">30</definedName>
    <definedName name="solver_mni" localSheetId="12" hidden="1">30</definedName>
    <definedName name="solver_mrt" localSheetId="9" hidden="1">0.075</definedName>
    <definedName name="solver_mrt" localSheetId="8" hidden="1">0.075</definedName>
    <definedName name="solver_mrt" localSheetId="11" hidden="1">0.075</definedName>
    <definedName name="solver_mrt" localSheetId="10" hidden="1">0.075</definedName>
    <definedName name="solver_mrt" localSheetId="13" hidden="1">0.075</definedName>
    <definedName name="solver_mrt" localSheetId="12" hidden="1">0.075</definedName>
    <definedName name="solver_msl" localSheetId="9" hidden="1">2</definedName>
    <definedName name="solver_msl" localSheetId="8" hidden="1">2</definedName>
    <definedName name="solver_msl" localSheetId="11" hidden="1">2</definedName>
    <definedName name="solver_msl" localSheetId="10" hidden="1">2</definedName>
    <definedName name="solver_msl" localSheetId="13" hidden="1">2</definedName>
    <definedName name="solver_msl" localSheetId="12" hidden="1">2</definedName>
    <definedName name="solver_neg" localSheetId="9" hidden="1">1</definedName>
    <definedName name="solver_neg" localSheetId="8" hidden="1">1</definedName>
    <definedName name="solver_neg" localSheetId="11" hidden="1">1</definedName>
    <definedName name="solver_neg" localSheetId="10" hidden="1">1</definedName>
    <definedName name="solver_neg" localSheetId="13" hidden="1">1</definedName>
    <definedName name="solver_neg" localSheetId="12" hidden="1">1</definedName>
    <definedName name="solver_nod" localSheetId="9" hidden="1">2147483647</definedName>
    <definedName name="solver_nod" localSheetId="8" hidden="1">2147483647</definedName>
    <definedName name="solver_nod" localSheetId="11" hidden="1">2147483647</definedName>
    <definedName name="solver_nod" localSheetId="10" hidden="1">2147483647</definedName>
    <definedName name="solver_nod" localSheetId="13" hidden="1">2147483647</definedName>
    <definedName name="solver_nod" localSheetId="12" hidden="1">2147483647</definedName>
    <definedName name="solver_num" localSheetId="9" hidden="1">2</definedName>
    <definedName name="solver_num" localSheetId="8" hidden="1">3</definedName>
    <definedName name="solver_num" localSheetId="11" hidden="1">2</definedName>
    <definedName name="solver_num" localSheetId="10" hidden="1">3</definedName>
    <definedName name="solver_num" localSheetId="13" hidden="1">2</definedName>
    <definedName name="solver_num" localSheetId="12" hidden="1">3</definedName>
    <definedName name="solver_nwt" localSheetId="9" hidden="1">1</definedName>
    <definedName name="solver_nwt" localSheetId="8" hidden="1">1</definedName>
    <definedName name="solver_nwt" localSheetId="11" hidden="1">1</definedName>
    <definedName name="solver_nwt" localSheetId="10" hidden="1">1</definedName>
    <definedName name="solver_nwt" localSheetId="13" hidden="1">1</definedName>
    <definedName name="solver_nwt" localSheetId="12" hidden="1">1</definedName>
    <definedName name="solver_opt" localSheetId="9" hidden="1">'5-ip'!$B$45</definedName>
    <definedName name="solver_opt" localSheetId="8" hidden="1">'5-lp'!$B$46</definedName>
    <definedName name="solver_opt" localSheetId="11" hidden="1">'6-ip'!$B$51</definedName>
    <definedName name="solver_opt" localSheetId="10" hidden="1">'6-lp'!$B$52</definedName>
    <definedName name="solver_opt" localSheetId="13" hidden="1">'7-ip'!$B$63</definedName>
    <definedName name="solver_opt" localSheetId="12" hidden="1">'7-lp'!$B$63</definedName>
    <definedName name="solver_pre" localSheetId="9" hidden="1">0.000001</definedName>
    <definedName name="solver_pre" localSheetId="8" hidden="1">0.000001</definedName>
    <definedName name="solver_pre" localSheetId="11" hidden="1">0.000001</definedName>
    <definedName name="solver_pre" localSheetId="10" hidden="1">0.000001</definedName>
    <definedName name="solver_pre" localSheetId="13" hidden="1">0.000001</definedName>
    <definedName name="solver_pre" localSheetId="12" hidden="1">0.000001</definedName>
    <definedName name="solver_rbv" localSheetId="9" hidden="1">1</definedName>
    <definedName name="solver_rbv" localSheetId="8" hidden="1">2</definedName>
    <definedName name="solver_rbv" localSheetId="11" hidden="1">1</definedName>
    <definedName name="solver_rbv" localSheetId="10" hidden="1">1</definedName>
    <definedName name="solver_rbv" localSheetId="13" hidden="1">2</definedName>
    <definedName name="solver_rbv" localSheetId="12" hidden="1">1</definedName>
    <definedName name="solver_rel1" localSheetId="9" hidden="1">1</definedName>
    <definedName name="solver_rel1" localSheetId="8" hidden="1">1</definedName>
    <definedName name="solver_rel1" localSheetId="11" hidden="1">1</definedName>
    <definedName name="solver_rel1" localSheetId="10" hidden="1">1</definedName>
    <definedName name="solver_rel1" localSheetId="13" hidden="1">5</definedName>
    <definedName name="solver_rel1" localSheetId="12" hidden="1">1</definedName>
    <definedName name="solver_rel2" localSheetId="9" hidden="1">5</definedName>
    <definedName name="solver_rel2" localSheetId="8" hidden="1">1</definedName>
    <definedName name="solver_rel2" localSheetId="11" hidden="1">5</definedName>
    <definedName name="solver_rel2" localSheetId="10" hidden="1">1</definedName>
    <definedName name="solver_rel2" localSheetId="13" hidden="1">1</definedName>
    <definedName name="solver_rel2" localSheetId="12" hidden="1">3</definedName>
    <definedName name="solver_rel3" localSheetId="8" hidden="1">3</definedName>
    <definedName name="solver_rel3" localSheetId="10" hidden="1">3</definedName>
    <definedName name="solver_rel3" localSheetId="12" hidden="1">1</definedName>
    <definedName name="solver_rhs1" localSheetId="9" hidden="1">'5-ip'!$AD$5:$AD$14</definedName>
    <definedName name="solver_rhs1" localSheetId="8" hidden="1">'5-lp'!$AD$5:$AD$14</definedName>
    <definedName name="solver_rhs1" localSheetId="11" hidden="1">'6-ip'!$AO$5:$AO$9</definedName>
    <definedName name="solver_rhs1" localSheetId="10" hidden="1">'6-lp'!$AO$5:$AO$9</definedName>
    <definedName name="solver_rhs1" localSheetId="13" hidden="1">"binary"</definedName>
    <definedName name="solver_rhs1" localSheetId="12" hidden="1">1</definedName>
    <definedName name="solver_rhs2" localSheetId="9" hidden="1">"binary"</definedName>
    <definedName name="solver_rhs2" localSheetId="8" hidden="1">1</definedName>
    <definedName name="solver_rhs2" localSheetId="11" hidden="1">"binary"</definedName>
    <definedName name="solver_rhs2" localSheetId="10" hidden="1">1</definedName>
    <definedName name="solver_rhs2" localSheetId="13" hidden="1">'7-ip'!$AZ$5:$AZ$9</definedName>
    <definedName name="solver_rhs2" localSheetId="12" hidden="1">0</definedName>
    <definedName name="solver_rhs3" localSheetId="8" hidden="1">0</definedName>
    <definedName name="solver_rhs3" localSheetId="10" hidden="1">0</definedName>
    <definedName name="solver_rhs3" localSheetId="12" hidden="1">'7-lp'!$AZ$5:$AZ$9</definedName>
    <definedName name="solver_rlx" localSheetId="9" hidden="1">2</definedName>
    <definedName name="solver_rlx" localSheetId="8" hidden="1">2</definedName>
    <definedName name="solver_rlx" localSheetId="11" hidden="1">2</definedName>
    <definedName name="solver_rlx" localSheetId="10" hidden="1">2</definedName>
    <definedName name="solver_rlx" localSheetId="13" hidden="1">2</definedName>
    <definedName name="solver_rlx" localSheetId="12" hidden="1">2</definedName>
    <definedName name="solver_rsd" localSheetId="9" hidden="1">0</definedName>
    <definedName name="solver_rsd" localSheetId="8" hidden="1">0</definedName>
    <definedName name="solver_rsd" localSheetId="11" hidden="1">0</definedName>
    <definedName name="solver_rsd" localSheetId="10" hidden="1">0</definedName>
    <definedName name="solver_rsd" localSheetId="13" hidden="1">0</definedName>
    <definedName name="solver_rsd" localSheetId="12" hidden="1">0</definedName>
    <definedName name="solver_scl" localSheetId="9" hidden="1">1</definedName>
    <definedName name="solver_scl" localSheetId="8" hidden="1">2</definedName>
    <definedName name="solver_scl" localSheetId="11" hidden="1">1</definedName>
    <definedName name="solver_scl" localSheetId="10" hidden="1">1</definedName>
    <definedName name="solver_scl" localSheetId="13" hidden="1">2</definedName>
    <definedName name="solver_scl" localSheetId="12" hidden="1">1</definedName>
    <definedName name="solver_sho" localSheetId="9" hidden="1">2</definedName>
    <definedName name="solver_sho" localSheetId="8" hidden="1">2</definedName>
    <definedName name="solver_sho" localSheetId="11" hidden="1">2</definedName>
    <definedName name="solver_sho" localSheetId="10" hidden="1">2</definedName>
    <definedName name="solver_sho" localSheetId="13" hidden="1">2</definedName>
    <definedName name="solver_sho" localSheetId="12" hidden="1">2</definedName>
    <definedName name="solver_ssz" localSheetId="9" hidden="1">100</definedName>
    <definedName name="solver_ssz" localSheetId="8" hidden="1">100</definedName>
    <definedName name="solver_ssz" localSheetId="11" hidden="1">100</definedName>
    <definedName name="solver_ssz" localSheetId="10" hidden="1">100</definedName>
    <definedName name="solver_ssz" localSheetId="13" hidden="1">100</definedName>
    <definedName name="solver_ssz" localSheetId="12" hidden="1">100</definedName>
    <definedName name="solver_tim" localSheetId="9" hidden="1">2147483647</definedName>
    <definedName name="solver_tim" localSheetId="8" hidden="1">2147483647</definedName>
    <definedName name="solver_tim" localSheetId="11" hidden="1">2147483647</definedName>
    <definedName name="solver_tim" localSheetId="10" hidden="1">2147483647</definedName>
    <definedName name="solver_tim" localSheetId="13" hidden="1">2147483647</definedName>
    <definedName name="solver_tim" localSheetId="12" hidden="1">2147483647</definedName>
    <definedName name="solver_tol" localSheetId="9" hidden="1">0.01</definedName>
    <definedName name="solver_tol" localSheetId="8" hidden="1">0.01</definedName>
    <definedName name="solver_tol" localSheetId="11" hidden="1">0.01</definedName>
    <definedName name="solver_tol" localSheetId="10" hidden="1">0.01</definedName>
    <definedName name="solver_tol" localSheetId="13" hidden="1">0.01</definedName>
    <definedName name="solver_tol" localSheetId="12" hidden="1">0.01</definedName>
    <definedName name="solver_typ" localSheetId="9" hidden="1">1</definedName>
    <definedName name="solver_typ" localSheetId="8" hidden="1">1</definedName>
    <definedName name="solver_typ" localSheetId="11" hidden="1">1</definedName>
    <definedName name="solver_typ" localSheetId="10" hidden="1">1</definedName>
    <definedName name="solver_typ" localSheetId="13" hidden="1">1</definedName>
    <definedName name="solver_typ" localSheetId="12" hidden="1">1</definedName>
    <definedName name="solver_val" localSheetId="9" hidden="1">0</definedName>
    <definedName name="solver_val" localSheetId="8" hidden="1">0</definedName>
    <definedName name="solver_val" localSheetId="11" hidden="1">0</definedName>
    <definedName name="solver_val" localSheetId="10" hidden="1">0</definedName>
    <definedName name="solver_val" localSheetId="13" hidden="1">0</definedName>
    <definedName name="solver_val" localSheetId="12" hidden="1">0</definedName>
    <definedName name="solver_ver" localSheetId="9" hidden="1">3</definedName>
    <definedName name="solver_ver" localSheetId="8" hidden="1">3</definedName>
    <definedName name="solver_ver" localSheetId="11" hidden="1">3</definedName>
    <definedName name="solver_ver" localSheetId="10" hidden="1">3</definedName>
    <definedName name="solver_ver" localSheetId="13" hidden="1">3</definedName>
    <definedName name="solver_ver" localSheetId="1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5" l="1"/>
  <c r="H4" i="15"/>
  <c r="H5" i="15"/>
  <c r="H6" i="15"/>
  <c r="H7" i="15"/>
  <c r="H8" i="15"/>
  <c r="H2" i="15"/>
  <c r="G7" i="15"/>
  <c r="G6" i="15"/>
  <c r="G4" i="15"/>
  <c r="G3" i="15"/>
  <c r="F3" i="15"/>
  <c r="F4" i="15"/>
  <c r="F5" i="15"/>
  <c r="F6" i="15"/>
  <c r="F7" i="15"/>
  <c r="F8" i="15"/>
  <c r="F2" i="15"/>
  <c r="E3" i="15"/>
  <c r="E4" i="15"/>
  <c r="E5" i="15"/>
  <c r="E6" i="15"/>
  <c r="E7" i="15"/>
  <c r="E8" i="15"/>
  <c r="E2" i="15"/>
  <c r="B25" i="9" a="1"/>
  <c r="B25" i="9" s="1"/>
  <c r="B35" i="14" a="1"/>
  <c r="B35" i="14" s="1"/>
  <c r="X12" i="14" a="1"/>
  <c r="X12" i="14" s="1"/>
  <c r="X11" i="14" a="1"/>
  <c r="X11" i="14" s="1"/>
  <c r="X10" i="14" a="1"/>
  <c r="X10" i="14" s="1"/>
  <c r="X9" i="14" a="1"/>
  <c r="X9" i="14" s="1"/>
  <c r="X8" i="14" a="1"/>
  <c r="X8" i="14" s="1"/>
  <c r="X7" i="14" a="1"/>
  <c r="X7" i="14" s="1"/>
  <c r="X6" i="14" a="1"/>
  <c r="X6" i="14" s="1"/>
  <c r="X5" i="14" a="1"/>
  <c r="X5" i="14" s="1"/>
  <c r="X4" i="14" a="1"/>
  <c r="X4" i="14" s="1"/>
  <c r="X3" i="14" a="1"/>
  <c r="X3" i="14" s="1"/>
  <c r="B35" i="13" a="1"/>
  <c r="B35" i="13" s="1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Y6" i="13" s="1" a="1"/>
  <c r="Y6" i="13" s="1"/>
  <c r="Z6" i="13" s="1"/>
  <c r="X12" i="13"/>
  <c r="X12" i="13" a="1"/>
  <c r="X11" i="13" a="1"/>
  <c r="X11" i="13" s="1"/>
  <c r="X10" i="13" a="1"/>
  <c r="X10" i="13" s="1"/>
  <c r="X9" i="13" a="1"/>
  <c r="X9" i="13" s="1"/>
  <c r="X8" i="13"/>
  <c r="X8" i="13" a="1"/>
  <c r="X7" i="13" a="1"/>
  <c r="X7" i="13" s="1"/>
  <c r="X6" i="13"/>
  <c r="X6" i="13" a="1"/>
  <c r="X5" i="13" a="1"/>
  <c r="X5" i="13" s="1"/>
  <c r="X4" i="13"/>
  <c r="X4" i="13" a="1"/>
  <c r="X3" i="13" a="1"/>
  <c r="X3" i="13" s="1"/>
  <c r="B30" i="12" a="1"/>
  <c r="B30" i="12" s="1"/>
  <c r="S12" i="12" a="1"/>
  <c r="S12" i="12" s="1"/>
  <c r="S11" i="12" a="1"/>
  <c r="S11" i="12" s="1"/>
  <c r="S10" i="12" a="1"/>
  <c r="S10" i="12" s="1"/>
  <c r="S9" i="12" a="1"/>
  <c r="S9" i="12" s="1"/>
  <c r="S8" i="12" a="1"/>
  <c r="S8" i="12" s="1"/>
  <c r="S7" i="12" a="1"/>
  <c r="S7" i="12" s="1"/>
  <c r="S6" i="12" a="1"/>
  <c r="S6" i="12" s="1"/>
  <c r="S5" i="12" a="1"/>
  <c r="S5" i="12" s="1"/>
  <c r="S4" i="12" a="1"/>
  <c r="S4" i="12" s="1"/>
  <c r="S3" i="12" a="1"/>
  <c r="S3" i="12" s="1"/>
  <c r="B30" i="11" a="1"/>
  <c r="B30" i="11" s="1"/>
  <c r="C28" i="11"/>
  <c r="C27" i="11"/>
  <c r="C26" i="11"/>
  <c r="C25" i="11"/>
  <c r="C24" i="11"/>
  <c r="C23" i="11"/>
  <c r="C22" i="11"/>
  <c r="C21" i="11"/>
  <c r="C20" i="11"/>
  <c r="C19" i="11"/>
  <c r="T6" i="11" s="1" a="1"/>
  <c r="T6" i="11" s="1"/>
  <c r="U6" i="11" s="1"/>
  <c r="C18" i="11"/>
  <c r="C17" i="11"/>
  <c r="T5" i="11" s="1" a="1"/>
  <c r="T5" i="11" s="1"/>
  <c r="U5" i="11" s="1"/>
  <c r="C16" i="11"/>
  <c r="T8" i="11" s="1" a="1"/>
  <c r="T8" i="11" s="1"/>
  <c r="U8" i="11" s="1"/>
  <c r="C15" i="11"/>
  <c r="C14" i="11"/>
  <c r="C30" i="11" s="1" a="1"/>
  <c r="C30" i="11" s="1"/>
  <c r="T12" i="11" a="1"/>
  <c r="T12" i="11" s="1"/>
  <c r="U12" i="11" s="1"/>
  <c r="S12" i="11" a="1"/>
  <c r="S12" i="11" s="1"/>
  <c r="S11" i="11" a="1"/>
  <c r="S11" i="11" s="1"/>
  <c r="S10" i="11"/>
  <c r="S10" i="11" a="1"/>
  <c r="S9" i="11"/>
  <c r="S9" i="11" a="1"/>
  <c r="S8" i="11" a="1"/>
  <c r="S8" i="11" s="1"/>
  <c r="S7" i="11"/>
  <c r="S7" i="11" a="1"/>
  <c r="S6" i="11" a="1"/>
  <c r="S6" i="11" s="1"/>
  <c r="S5" i="11" a="1"/>
  <c r="S5" i="11" s="1"/>
  <c r="T4" i="11" a="1"/>
  <c r="T4" i="11" s="1"/>
  <c r="U4" i="11" s="1"/>
  <c r="S4" i="11" a="1"/>
  <c r="S4" i="11" s="1"/>
  <c r="S3" i="11" a="1"/>
  <c r="S3" i="11" s="1"/>
  <c r="B25" i="10" a="1"/>
  <c r="B25" i="10" s="1"/>
  <c r="N12" i="10" a="1"/>
  <c r="N12" i="10" s="1"/>
  <c r="N11" i="10" a="1"/>
  <c r="N11" i="10" s="1"/>
  <c r="N10" i="10" a="1"/>
  <c r="N10" i="10" s="1"/>
  <c r="N9" i="10" a="1"/>
  <c r="N9" i="10" s="1"/>
  <c r="N8" i="10" a="1"/>
  <c r="N8" i="10" s="1"/>
  <c r="N7" i="10" a="1"/>
  <c r="N7" i="10" s="1"/>
  <c r="N6" i="10" a="1"/>
  <c r="N6" i="10" s="1"/>
  <c r="N5" i="10" a="1"/>
  <c r="N5" i="10" s="1"/>
  <c r="N4" i="10" a="1"/>
  <c r="N4" i="10" s="1"/>
  <c r="N3" i="10" a="1"/>
  <c r="N3" i="10" s="1"/>
  <c r="C23" i="9"/>
  <c r="C22" i="9"/>
  <c r="C21" i="9"/>
  <c r="C20" i="9"/>
  <c r="O11" i="9" s="1" a="1"/>
  <c r="O11" i="9" s="1"/>
  <c r="P11" i="9" s="1"/>
  <c r="C19" i="9"/>
  <c r="C18" i="9"/>
  <c r="C17" i="9"/>
  <c r="C16" i="9"/>
  <c r="C15" i="9"/>
  <c r="C14" i="9"/>
  <c r="O12" i="9" s="1" a="1"/>
  <c r="O12" i="9" s="1"/>
  <c r="P12" i="9" s="1"/>
  <c r="N12" i="9" a="1"/>
  <c r="N12" i="9" s="1"/>
  <c r="N11" i="9" a="1"/>
  <c r="N11" i="9" s="1"/>
  <c r="N10" i="9" a="1"/>
  <c r="N10" i="9" s="1"/>
  <c r="O9" i="9" a="1"/>
  <c r="O9" i="9" s="1"/>
  <c r="P9" i="9" s="1"/>
  <c r="N9" i="9" a="1"/>
  <c r="N9" i="9" s="1"/>
  <c r="N8" i="9" a="1"/>
  <c r="N8" i="9" s="1"/>
  <c r="N7" i="9" a="1"/>
  <c r="N7" i="9" s="1"/>
  <c r="N6" i="9"/>
  <c r="N6" i="9" a="1"/>
  <c r="N5" i="9" a="1"/>
  <c r="N5" i="9" s="1"/>
  <c r="N4" i="9" a="1"/>
  <c r="N4" i="9" s="1"/>
  <c r="N3" i="9" a="1"/>
  <c r="N3" i="9" s="1"/>
  <c r="B21" i="8" a="1"/>
  <c r="B21" i="8" s="1"/>
  <c r="J12" i="8" a="1"/>
  <c r="J12" i="8" s="1"/>
  <c r="J11" i="8" a="1"/>
  <c r="J11" i="8" s="1"/>
  <c r="J10" i="8" a="1"/>
  <c r="J10" i="8" s="1"/>
  <c r="J9" i="8" a="1"/>
  <c r="J9" i="8" s="1"/>
  <c r="J8" i="8" a="1"/>
  <c r="J8" i="8" s="1"/>
  <c r="J7" i="8" a="1"/>
  <c r="J7" i="8" s="1"/>
  <c r="J6" i="8" a="1"/>
  <c r="J6" i="8" s="1"/>
  <c r="J5" i="8" a="1"/>
  <c r="J5" i="8" s="1"/>
  <c r="J4" i="8" a="1"/>
  <c r="J4" i="8" s="1"/>
  <c r="J3" i="8" a="1"/>
  <c r="J3" i="8" s="1"/>
  <c r="B21" i="7" a="1"/>
  <c r="B21" i="7" s="1"/>
  <c r="C19" i="7"/>
  <c r="C18" i="7"/>
  <c r="C17" i="7"/>
  <c r="K11" i="7" s="1" a="1"/>
  <c r="K11" i="7" s="1"/>
  <c r="L11" i="7" s="1"/>
  <c r="C16" i="7"/>
  <c r="C15" i="7"/>
  <c r="C14" i="7"/>
  <c r="C21" i="7" s="1" a="1"/>
  <c r="C21" i="7" s="1"/>
  <c r="K12" i="7"/>
  <c r="L12" i="7" s="1"/>
  <c r="K12" i="7" a="1"/>
  <c r="J12" i="7" a="1"/>
  <c r="J12" i="7" s="1"/>
  <c r="J11" i="7" a="1"/>
  <c r="J11" i="7" s="1"/>
  <c r="K10" i="7" a="1"/>
  <c r="K10" i="7" s="1"/>
  <c r="L10" i="7" s="1"/>
  <c r="J10" i="7" a="1"/>
  <c r="J10" i="7" s="1"/>
  <c r="K9" i="7" a="1"/>
  <c r="K9" i="7" s="1"/>
  <c r="L9" i="7" s="1"/>
  <c r="J9" i="7"/>
  <c r="J9" i="7" a="1"/>
  <c r="K8" i="7" a="1"/>
  <c r="K8" i="7" s="1"/>
  <c r="L8" i="7" s="1"/>
  <c r="J8" i="7" a="1"/>
  <c r="J8" i="7" s="1"/>
  <c r="K7" i="7"/>
  <c r="L7" i="7" s="1"/>
  <c r="K7" i="7" a="1"/>
  <c r="J7" i="7" a="1"/>
  <c r="J7" i="7" s="1"/>
  <c r="K6" i="7" a="1"/>
  <c r="K6" i="7" s="1"/>
  <c r="L6" i="7" s="1"/>
  <c r="J6" i="7"/>
  <c r="J6" i="7" a="1"/>
  <c r="K5" i="7" a="1"/>
  <c r="K5" i="7" s="1"/>
  <c r="L5" i="7" s="1"/>
  <c r="J5" i="7" a="1"/>
  <c r="J5" i="7" s="1"/>
  <c r="L4" i="7"/>
  <c r="K4" i="7"/>
  <c r="K4" i="7" a="1"/>
  <c r="J4" i="7" a="1"/>
  <c r="J4" i="7" s="1"/>
  <c r="K3" i="7" a="1"/>
  <c r="K3" i="7" s="1"/>
  <c r="L3" i="7" s="1"/>
  <c r="J3" i="7"/>
  <c r="J3" i="7" a="1"/>
  <c r="AG6" i="1"/>
  <c r="AG7" i="1"/>
  <c r="AG8" i="1"/>
  <c r="AG9" i="1"/>
  <c r="AG10" i="1"/>
  <c r="AG11" i="1"/>
  <c r="AG12" i="1"/>
  <c r="AG13" i="1"/>
  <c r="AG14" i="1"/>
  <c r="AG5" i="1"/>
  <c r="AF6" i="1" a="1"/>
  <c r="AF6" i="1"/>
  <c r="AF7" i="1" a="1"/>
  <c r="AF7" i="1"/>
  <c r="AF8" i="1" a="1"/>
  <c r="AF8" i="1"/>
  <c r="AF9" i="1" a="1"/>
  <c r="AF9" i="1"/>
  <c r="AF10" i="1" a="1"/>
  <c r="AF10" i="1"/>
  <c r="AF11" i="1" a="1"/>
  <c r="AF11" i="1"/>
  <c r="AF12" i="1" a="1"/>
  <c r="AF12" i="1"/>
  <c r="AF13" i="1" a="1"/>
  <c r="AF13" i="1"/>
  <c r="AF14" i="1" a="1"/>
  <c r="AF14" i="1"/>
  <c r="AF5" i="1" a="1"/>
  <c r="AF5" i="1" s="1"/>
  <c r="C46" i="1" a="1"/>
  <c r="C46" i="1" s="1"/>
  <c r="B46" i="1" a="1"/>
  <c r="B46" i="1" s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18" i="1"/>
  <c r="AR6" i="3"/>
  <c r="AR7" i="3"/>
  <c r="AR8" i="3"/>
  <c r="AR9" i="3"/>
  <c r="AR5" i="3"/>
  <c r="AQ6" i="3" a="1"/>
  <c r="AQ6" i="3"/>
  <c r="AQ7" i="3" a="1"/>
  <c r="AQ7" i="3"/>
  <c r="AQ8" i="3" a="1"/>
  <c r="AQ8" i="3"/>
  <c r="AQ9" i="3" a="1"/>
  <c r="AQ9" i="3"/>
  <c r="AQ5" i="3" a="1"/>
  <c r="AQ5" i="3"/>
  <c r="C52" i="3" a="1"/>
  <c r="C52" i="3"/>
  <c r="B52" i="3" a="1"/>
  <c r="B52" i="3" s="1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13" i="3"/>
  <c r="BC6" i="5"/>
  <c r="BC7" i="5"/>
  <c r="BC8" i="5"/>
  <c r="BC9" i="5"/>
  <c r="BC5" i="5"/>
  <c r="BB6" i="5" a="1"/>
  <c r="BB6" i="5"/>
  <c r="BB7" i="5" a="1"/>
  <c r="BB7" i="5"/>
  <c r="BB8" i="5" a="1"/>
  <c r="BB8" i="5"/>
  <c r="BB9" i="5" a="1"/>
  <c r="BB9" i="5"/>
  <c r="BB5" i="5" a="1"/>
  <c r="BB5" i="5" s="1"/>
  <c r="C63" i="5" a="1"/>
  <c r="C63" i="5" s="1"/>
  <c r="B63" i="5" a="1"/>
  <c r="B63" i="5" s="1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13" i="5"/>
  <c r="BA6" i="6" a="1"/>
  <c r="BA6" i="6" s="1"/>
  <c r="BA7" i="6" a="1"/>
  <c r="BA7" i="6" s="1"/>
  <c r="BA8" i="6" a="1"/>
  <c r="BA8" i="6" s="1"/>
  <c r="BA9" i="6" a="1"/>
  <c r="BA9" i="6" s="1"/>
  <c r="BA5" i="6" a="1"/>
  <c r="BA5" i="6" s="1"/>
  <c r="B63" i="6" a="1"/>
  <c r="B63" i="6" s="1"/>
  <c r="BA6" i="5" a="1"/>
  <c r="BA6" i="5" s="1"/>
  <c r="BA7" i="5" a="1"/>
  <c r="BA7" i="5" s="1"/>
  <c r="BA8" i="5" a="1"/>
  <c r="BA8" i="5" s="1"/>
  <c r="BA9" i="5" a="1"/>
  <c r="BA9" i="5" s="1"/>
  <c r="BA5" i="5" a="1"/>
  <c r="BA5" i="5" s="1"/>
  <c r="AP6" i="4" a="1"/>
  <c r="AP6" i="4" s="1"/>
  <c r="AP7" i="4" a="1"/>
  <c r="AP7" i="4" s="1"/>
  <c r="AP8" i="4" a="1"/>
  <c r="AP8" i="4" s="1"/>
  <c r="AP9" i="4" a="1"/>
  <c r="AP9" i="4" s="1"/>
  <c r="AP5" i="4" a="1"/>
  <c r="AP5" i="4" s="1"/>
  <c r="B51" i="4" a="1"/>
  <c r="B51" i="4" s="1"/>
  <c r="AP6" i="3" a="1"/>
  <c r="AP6" i="3" s="1"/>
  <c r="AP7" i="3" a="1"/>
  <c r="AP7" i="3" s="1"/>
  <c r="AP8" i="3" a="1"/>
  <c r="AP8" i="3" s="1"/>
  <c r="AP9" i="3" a="1"/>
  <c r="AP9" i="3" s="1"/>
  <c r="AP5" i="3" a="1"/>
  <c r="AP5" i="3" s="1"/>
  <c r="AE6" i="2" a="1"/>
  <c r="AE6" i="2" s="1"/>
  <c r="AE7" i="2" a="1"/>
  <c r="AE7" i="2" s="1"/>
  <c r="AE8" i="2" a="1"/>
  <c r="AE8" i="2" s="1"/>
  <c r="AE9" i="2" a="1"/>
  <c r="AE9" i="2" s="1"/>
  <c r="AE10" i="2" a="1"/>
  <c r="AE10" i="2" s="1"/>
  <c r="AE11" i="2" a="1"/>
  <c r="AE11" i="2" s="1"/>
  <c r="AE12" i="2" a="1"/>
  <c r="AE12" i="2" s="1"/>
  <c r="AE13" i="2" a="1"/>
  <c r="AE13" i="2" s="1"/>
  <c r="AE14" i="2" a="1"/>
  <c r="AE14" i="2" s="1"/>
  <c r="AE5" i="2" a="1"/>
  <c r="AE5" i="2" s="1"/>
  <c r="B45" i="2" a="1"/>
  <c r="B45" i="2" s="1"/>
  <c r="AE6" i="1" a="1"/>
  <c r="AE6" i="1" s="1"/>
  <c r="AE7" i="1" a="1"/>
  <c r="AE7" i="1" s="1"/>
  <c r="AE8" i="1" a="1"/>
  <c r="AE8" i="1" s="1"/>
  <c r="AE9" i="1" a="1"/>
  <c r="AE9" i="1" s="1"/>
  <c r="AE10" i="1" a="1"/>
  <c r="AE10" i="1" s="1"/>
  <c r="AE11" i="1" a="1"/>
  <c r="AE11" i="1" s="1"/>
  <c r="AE12" i="1" a="1"/>
  <c r="AE12" i="1" s="1"/>
  <c r="AE13" i="1" a="1"/>
  <c r="AE13" i="1" s="1"/>
  <c r="AE14" i="1" a="1"/>
  <c r="AE14" i="1" s="1"/>
  <c r="AE5" i="1" a="1"/>
  <c r="AE5" i="1" s="1"/>
  <c r="Y5" i="13" l="1" a="1"/>
  <c r="Y5" i="13" s="1"/>
  <c r="Z5" i="13" s="1"/>
  <c r="Y10" i="13" a="1"/>
  <c r="Y10" i="13" s="1"/>
  <c r="Z10" i="13" s="1"/>
  <c r="Y8" i="13" a="1"/>
  <c r="Y8" i="13" s="1"/>
  <c r="Z8" i="13" s="1"/>
  <c r="Y7" i="13" a="1"/>
  <c r="Y7" i="13" s="1"/>
  <c r="Z7" i="13" s="1"/>
  <c r="Y4" i="13" a="1"/>
  <c r="Y4" i="13" s="1"/>
  <c r="Z4" i="13" s="1"/>
  <c r="Y12" i="13" a="1"/>
  <c r="Y12" i="13" s="1"/>
  <c r="Z12" i="13" s="1"/>
  <c r="Y9" i="13" a="1"/>
  <c r="Y9" i="13" s="1"/>
  <c r="Z9" i="13" s="1"/>
  <c r="C35" i="13" a="1"/>
  <c r="C35" i="13" s="1"/>
  <c r="Y3" i="13" a="1"/>
  <c r="Y3" i="13" s="1"/>
  <c r="Z3" i="13" s="1"/>
  <c r="Y11" i="13" a="1"/>
  <c r="Y11" i="13" s="1"/>
  <c r="Z11" i="13" s="1"/>
  <c r="T10" i="11" a="1"/>
  <c r="T10" i="11" s="1"/>
  <c r="U10" i="11" s="1"/>
  <c r="T7" i="11" a="1"/>
  <c r="T7" i="11" s="1"/>
  <c r="U7" i="11" s="1"/>
  <c r="T9" i="11" a="1"/>
  <c r="T9" i="11" s="1"/>
  <c r="U9" i="11" s="1"/>
  <c r="T3" i="11" a="1"/>
  <c r="T3" i="11" s="1"/>
  <c r="U3" i="11" s="1"/>
  <c r="T11" i="11" a="1"/>
  <c r="T11" i="11" s="1"/>
  <c r="U11" i="11" s="1"/>
  <c r="O10" i="9" a="1"/>
  <c r="O10" i="9" s="1"/>
  <c r="P10" i="9" s="1"/>
  <c r="O6" i="9" a="1"/>
  <c r="O6" i="9" s="1"/>
  <c r="P6" i="9" s="1"/>
  <c r="O3" i="9" a="1"/>
  <c r="O3" i="9" s="1"/>
  <c r="P3" i="9" s="1"/>
  <c r="O8" i="9" a="1"/>
  <c r="O8" i="9" s="1"/>
  <c r="P8" i="9" s="1"/>
  <c r="O5" i="9" a="1"/>
  <c r="O5" i="9" s="1"/>
  <c r="P5" i="9" s="1"/>
  <c r="O7" i="9" a="1"/>
  <c r="O7" i="9" s="1"/>
  <c r="P7" i="9" s="1"/>
  <c r="C25" i="9" a="1"/>
  <c r="C25" i="9" s="1"/>
  <c r="O4" i="9" a="1"/>
  <c r="O4" i="9" s="1"/>
  <c r="P4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<sst xmlns="http://schemas.openxmlformats.org/spreadsheetml/2006/main" count="937" uniqueCount="105">
  <si>
    <t>OR-Library mknap1 | P5  |  n=28 items  |  m=10 constraints  |  Optimal IP = 12400</t>
  </si>
  <si>
    <t>Source: Petersen (1967), OR-Library mknap1.txt — 100% standard benchmark data</t>
  </si>
  <si>
    <t>Row \ Item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</si>
  <si>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</si>
  <si>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</si>
  <si>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</si>
  <si>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</si>
  <si>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</si>
  <si>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</si>
  <si>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</si>
  <si>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</si>
  <si>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</si>
  <si>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</si>
  <si>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</si>
  <si>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</si>
  <si>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</si>
  <si>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</si>
  <si>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</si>
  <si>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</si>
  <si>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</si>
  <si>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</si>
  <si>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</si>
  <si>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</si>
  <si>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</si>
  <si>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</si>
  <si>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</si>
  <si>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</si>
  <si>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</si>
  <si>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</si>
  <si>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</si>
  <si>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</si>
  <si>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Capacity (b_i)</t>
  </si>
  <si>
    <t>Profit c_j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</si>
  <si>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</si>
  <si>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</si>
  <si>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</si>
  <si>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</si>
  <si>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</si>
  <si>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</si>
  <si>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</si>
  <si>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</si>
  <si>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</si>
  <si>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</si>
  <si>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OR-Library mknap1 | P6  |  n=39 items  |  m=5 constraints  |  Optimal IP = 10618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</si>
  <si>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</si>
  <si>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</si>
  <si>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</si>
  <si>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</si>
  <si>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</si>
  <si>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</si>
  <si>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</si>
  <si>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</si>
  <si>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</si>
  <si>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</si>
  <si>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</si>
  <si>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OR-Library mknap1 | P7  |  n=50 items  |  m=5 constraints  |  Optimal IP = 16537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</si>
  <si>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</si>
  <si>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</si>
  <si>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</si>
  <si>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</si>
  <si>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</si>
  <si>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</si>
  <si>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</si>
  <si>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</si>
  <si>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</si>
  <si>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</si>
  <si>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</si>
  <si>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&lt;=</t>
  </si>
  <si>
    <t>Total Profit</t>
  </si>
  <si>
    <t>item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</si>
  <si>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</si>
  <si>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</si>
  <si>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</si>
  <si>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</si>
  <si>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</si>
  <si>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</si>
  <si>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</si>
  <si>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</si>
  <si>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</si>
  <si>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</si>
  <si>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profit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</si>
  <si>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</si>
  <si>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</si>
  <si>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</si>
  <si>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</si>
  <si>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</si>
  <si>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</si>
  <si>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</si>
  <si>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</si>
  <si>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</si>
  <si>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</si>
  <si>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total profit</t>
  </si>
  <si>
    <t>Item 11</t>
  </si>
  <si>
    <t>Item 12</t>
  </si>
  <si>
    <t>Item 13</t>
  </si>
  <si>
    <t>Item 14</t>
  </si>
  <si>
    <t>Item 15</t>
  </si>
  <si>
    <t>Instance</t>
  </si>
  <si>
    <t xml:space="preserve">Lp objective </t>
  </si>
  <si>
    <t>Rounded lp objective</t>
  </si>
  <si>
    <t>Ip objective</t>
  </si>
  <si>
    <t>lp approx ratio</t>
  </si>
  <si>
    <t>Rounded lp approx ratio</t>
  </si>
  <si>
    <t>Rounded constraint  violations ratio</t>
  </si>
  <si>
    <t>Feasiblity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</si>
</sst>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i/>
      <sz val="8"/>
      <color rgb="FF595959"/>
      <name val="Arial"/>
      <family val="2"/>
    </font>
    <font>
      <b/>
      <sz val="9"/>
      <color rgb="FF1F4E7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9"/>
      <color rgb="FF1F4E79"/>
      <name val="Arial"/>
    </font>
    <font>
      <b/>
      <sz val="11"/>
      <color rgb="FFFFFFFF"/>
      <name val="Arial"/>
      <family val="2"/>
    </font>
    <font>
      <b/>
      <sz val="9"/>
      <color rgb="FF000000"/>
      <name val="Arial"/>
    </font>
    <font>
      <sz val="9"/>
      <color rgb="FF000000"/>
      <name val="Arial"/>
    </font>
    <font>
      <sz val="9"/>
      <color rgb="FF141413"/>
      <name val="Courier New"/>
      <family val="3"/>
    </font>
    <font>
      <b/>
      <sz val="10"/>
      <name val="Arial"/>
    </font>
    <font>
      <sz val="9"/>
      <color rgb="FFFF0000"/>
      <name val="Courier New"/>
      <family val="3"/>
    </font>
    <font>
      <sz val="10"/>
      <name val="Arial"/>
      <family val="2"/>
    </font>
    <font>
      <b/>
      <sz val="11"/>
      <color rgb="FFFFFFFF"/>
      <name val="Arial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2" fillId="8" borderId="0" xfId="0" applyFont="1" applyFill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7" borderId="2" xfId="0" applyFont="1" applyFill="1" applyBorder="1" applyAlignment="1">
      <alignment horizontal="center"/>
    </xf>
    <xf numFmtId="0" fontId="0" fillId="9" borderId="0" xfId="0" applyFill="1"/>
    <xf numFmtId="0" fontId="14" fillId="0" borderId="0" xfId="0" applyFont="1"/>
    <xf numFmtId="0" fontId="0" fillId="10" borderId="0" xfId="0" applyFill="1"/>
    <xf numFmtId="0" fontId="0" fillId="11" borderId="0" xfId="0" applyFill="1"/>
    <xf numFmtId="0" fontId="9" fillId="12" borderId="0" xfId="0" applyFont="1" applyFill="1" applyAlignment="1">
      <alignment horizontal="center" vertical="center" wrapText="1"/>
    </xf>
    <xf numFmtId="0" fontId="15" fillId="5" borderId="2" xfId="0" applyFont="1" applyFill="1" applyBorder="1" applyAlignment="1">
      <alignment horizontal="center"/>
    </xf>
    <xf numFmtId="0" fontId="15" fillId="13" borderId="2" xfId="0" applyFont="1" applyFill="1" applyBorder="1" applyAlignment="1">
      <alignment horizontal="center"/>
    </xf>
    <xf numFmtId="0" fontId="0" fillId="7" borderId="0" xfId="0" applyFill="1"/>
    <xf numFmtId="0" fontId="15" fillId="14" borderId="2" xfId="0" applyFont="1" applyFill="1" applyBorder="1" applyAlignment="1">
      <alignment horizontal="center"/>
    </xf>
    <xf numFmtId="0" fontId="1" fillId="7" borderId="0" xfId="0" applyFont="1" applyFill="1"/>
    <xf numFmtId="0" fontId="1" fillId="0" borderId="0" xfId="0" applyFont="1"/>
    <xf numFmtId="0" fontId="16" fillId="12" borderId="0" xfId="0" applyFont="1" applyFill="1" applyAlignment="1">
      <alignment horizontal="center" vertical="center" wrapText="1"/>
    </xf>
    <xf numFmtId="0" fontId="17" fillId="5" borderId="2" xfId="0" applyFont="1" applyFill="1" applyBorder="1" applyAlignment="1">
      <alignment horizontal="center"/>
    </xf>
    <xf numFmtId="0" fontId="17" fillId="13" borderId="2" xfId="0" applyFont="1" applyFill="1" applyBorder="1" applyAlignment="1">
      <alignment horizontal="center"/>
    </xf>
    <xf numFmtId="0" fontId="17" fillId="7" borderId="3" xfId="0" applyFont="1" applyFill="1" applyBorder="1" applyAlignment="1">
      <alignment horizontal="center"/>
    </xf>
    <xf numFmtId="0" fontId="17" fillId="14" borderId="2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E1B2-8EE4-4390-87DC-5DB20BC0D63D}">
  <dimension ref="A1:L21"/>
  <sheetViews>
    <sheetView workbookViewId="0">
      <selection activeCell="C21" sqref="C21"/>
    </sheetView>
  </sheetViews>
  <sheetFormatPr defaultRowHeight="14.4" x14ac:dyDescent="0.3"/>
  <sheetData>
    <row r="1" spans="1:12" x14ac:dyDescent="0.3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4"/>
      <c r="I1" s="15"/>
      <c r="J1" s="15"/>
      <c r="K1" s="15"/>
    </row>
    <row r="2" spans="1:12" x14ac:dyDescent="0.3">
      <c r="A2" s="16" t="s">
        <v>32</v>
      </c>
      <c r="B2" s="17">
        <v>100</v>
      </c>
      <c r="C2" s="17">
        <v>600</v>
      </c>
      <c r="D2" s="17">
        <v>1200</v>
      </c>
      <c r="E2" s="17">
        <v>2400</v>
      </c>
      <c r="F2" s="17">
        <v>500</v>
      </c>
      <c r="G2" s="17">
        <v>2000</v>
      </c>
      <c r="H2" s="7"/>
    </row>
    <row r="3" spans="1:12" x14ac:dyDescent="0.3">
      <c r="A3" s="18" t="s">
        <v>33</v>
      </c>
      <c r="B3" s="19">
        <v>8</v>
      </c>
      <c r="C3" s="19">
        <v>12</v>
      </c>
      <c r="D3" s="19">
        <v>13</v>
      </c>
      <c r="E3" s="19">
        <v>64</v>
      </c>
      <c r="F3" s="19">
        <v>22</v>
      </c>
      <c r="G3" s="19">
        <v>41</v>
      </c>
      <c r="H3" s="20" t="s">
        <v>67</v>
      </c>
      <c r="I3">
        <v>80</v>
      </c>
      <c r="J3" s="21" cm="1">
        <f t="array" ref="J3">SUMPRODUCT($B$3:$G$3, TRANSPOSE($B$14:$B$19))</f>
        <v>80</v>
      </c>
      <c r="K3" s="21" cm="1">
        <f t="array" ref="K3">SUMPRODUCT(B3:G3,TRANSPOSE($C$14:$C$19))</f>
        <v>54</v>
      </c>
      <c r="L3" t="str">
        <f>IF(I3&gt;=K3,"Feasible","Not Feasible")</f>
        <v>Feasible</v>
      </c>
    </row>
    <row r="4" spans="1:12" x14ac:dyDescent="0.3">
      <c r="A4" s="22" t="s">
        <v>34</v>
      </c>
      <c r="B4" s="23">
        <v>8</v>
      </c>
      <c r="C4" s="23">
        <v>12</v>
      </c>
      <c r="D4" s="23">
        <v>13</v>
      </c>
      <c r="E4" s="23">
        <v>75</v>
      </c>
      <c r="F4" s="23">
        <v>22</v>
      </c>
      <c r="G4" s="23">
        <v>41</v>
      </c>
      <c r="H4" s="20" t="s">
        <v>67</v>
      </c>
      <c r="I4">
        <v>96</v>
      </c>
      <c r="J4" s="21" cm="1">
        <f t="array" ref="J4">SUMPRODUCT(B4:G4, TRANSPOSE($B$14:$B$19))</f>
        <v>83.992592592592587</v>
      </c>
      <c r="K4" s="21" cm="1">
        <f t="array" ref="K4">SUMPRODUCT(B4:G4,TRANSPOSE($C$14:$C$19))</f>
        <v>54</v>
      </c>
      <c r="L4" t="str">
        <f t="shared" ref="L4:L12" si="0">IF(I4&gt;=K4,"Feasible","Not Feasible")</f>
        <v>Feasible</v>
      </c>
    </row>
    <row r="5" spans="1:12" x14ac:dyDescent="0.3">
      <c r="A5" s="18" t="s">
        <v>35</v>
      </c>
      <c r="B5" s="19">
        <v>3</v>
      </c>
      <c r="C5" s="19">
        <v>6</v>
      </c>
      <c r="D5" s="19">
        <v>4</v>
      </c>
      <c r="E5" s="19">
        <v>18</v>
      </c>
      <c r="F5" s="19">
        <v>6</v>
      </c>
      <c r="G5" s="19">
        <v>4</v>
      </c>
      <c r="H5" s="20" t="s">
        <v>67</v>
      </c>
      <c r="I5">
        <v>20</v>
      </c>
      <c r="J5" s="21" cm="1">
        <f t="array" ref="J5">SUMPRODUCT(B5:G5, TRANSPOSE($B$14:$B$19))</f>
        <v>15.28888888888889</v>
      </c>
      <c r="K5" s="21" cm="1">
        <f t="array" ref="K5">SUMPRODUCT(B5:G5,TRANSPOSE($C$14:$C$19))</f>
        <v>8</v>
      </c>
      <c r="L5" t="str">
        <f t="shared" si="0"/>
        <v>Feasible</v>
      </c>
    </row>
    <row r="6" spans="1:12" x14ac:dyDescent="0.3">
      <c r="A6" s="22" t="s">
        <v>36</v>
      </c>
      <c r="B6" s="23">
        <v>5</v>
      </c>
      <c r="C6" s="23">
        <v>10</v>
      </c>
      <c r="D6" s="23">
        <v>8</v>
      </c>
      <c r="E6" s="23">
        <v>32</v>
      </c>
      <c r="F6" s="23">
        <v>6</v>
      </c>
      <c r="G6" s="23">
        <v>12</v>
      </c>
      <c r="H6" s="20" t="s">
        <v>67</v>
      </c>
      <c r="I6">
        <v>36</v>
      </c>
      <c r="J6" s="21" cm="1">
        <f t="array" ref="J6">SUMPRODUCT(B6:G6, TRANSPOSE($B$14:$B$19))</f>
        <v>32.370370370370367</v>
      </c>
      <c r="K6" s="21" cm="1">
        <f t="array" ref="K6">SUMPRODUCT(B6:G6,TRANSPOSE($C$14:$C$19))</f>
        <v>20</v>
      </c>
      <c r="L6" t="str">
        <f t="shared" si="0"/>
        <v>Feasible</v>
      </c>
    </row>
    <row r="7" spans="1:12" x14ac:dyDescent="0.3">
      <c r="A7" s="18" t="s">
        <v>37</v>
      </c>
      <c r="B7" s="19">
        <v>5</v>
      </c>
      <c r="C7" s="19">
        <v>13</v>
      </c>
      <c r="D7" s="19">
        <v>8</v>
      </c>
      <c r="E7" s="19">
        <v>42</v>
      </c>
      <c r="F7" s="19">
        <v>6</v>
      </c>
      <c r="G7" s="19">
        <v>20</v>
      </c>
      <c r="H7" s="20" t="s">
        <v>67</v>
      </c>
      <c r="I7">
        <v>44</v>
      </c>
      <c r="J7" s="21" cm="1">
        <f t="array" ref="J7">SUMPRODUCT(B7:G7, TRANSPOSE($B$14:$B$19))</f>
        <v>44</v>
      </c>
      <c r="K7" s="21" cm="1">
        <f t="array" ref="K7">SUMPRODUCT(B7:G7,TRANSPOSE($C$14:$C$19))</f>
        <v>28</v>
      </c>
      <c r="L7" t="str">
        <f t="shared" si="0"/>
        <v>Feasible</v>
      </c>
    </row>
    <row r="8" spans="1:12" x14ac:dyDescent="0.3">
      <c r="A8" s="22" t="s">
        <v>38</v>
      </c>
      <c r="B8" s="23">
        <v>5</v>
      </c>
      <c r="C8" s="23">
        <v>13</v>
      </c>
      <c r="D8" s="23">
        <v>8</v>
      </c>
      <c r="E8" s="23">
        <v>48</v>
      </c>
      <c r="F8" s="23">
        <v>6</v>
      </c>
      <c r="G8" s="23">
        <v>20</v>
      </c>
      <c r="H8" s="20" t="s">
        <v>67</v>
      </c>
      <c r="I8">
        <v>48</v>
      </c>
      <c r="J8" s="21" cm="1">
        <f t="array" ref="J8">SUMPRODUCT(B8:G8, TRANSPOSE($B$14:$B$19))</f>
        <v>46.177777777777777</v>
      </c>
      <c r="K8" s="21" cm="1">
        <f t="array" ref="K8">SUMPRODUCT(B8:G8,TRANSPOSE($C$14:$C$19))</f>
        <v>28</v>
      </c>
      <c r="L8" t="str">
        <f t="shared" si="0"/>
        <v>Feasible</v>
      </c>
    </row>
    <row r="9" spans="1:12" x14ac:dyDescent="0.3">
      <c r="A9" s="18" t="s">
        <v>39</v>
      </c>
      <c r="B9" s="19">
        <v>0</v>
      </c>
      <c r="C9" s="19">
        <v>0</v>
      </c>
      <c r="D9" s="19">
        <v>0</v>
      </c>
      <c r="E9" s="19">
        <v>0</v>
      </c>
      <c r="F9" s="19">
        <v>8</v>
      </c>
      <c r="G9" s="19">
        <v>0</v>
      </c>
      <c r="H9" s="20" t="s">
        <v>67</v>
      </c>
      <c r="I9">
        <v>10</v>
      </c>
      <c r="J9" s="21" cm="1">
        <f t="array" ref="J9">SUMPRODUCT(B9:G9, TRANSPOSE($B$14:$B$19))</f>
        <v>1.0074074074074082</v>
      </c>
      <c r="K9" s="21" cm="1">
        <f t="array" ref="K9">SUMPRODUCT(B9:G9,TRANSPOSE($C$14:$C$19))</f>
        <v>0</v>
      </c>
      <c r="L9" t="str">
        <f t="shared" si="0"/>
        <v>Feasible</v>
      </c>
    </row>
    <row r="10" spans="1:12" x14ac:dyDescent="0.3">
      <c r="A10" s="22" t="s">
        <v>40</v>
      </c>
      <c r="B10" s="23">
        <v>3</v>
      </c>
      <c r="C10" s="23">
        <v>0</v>
      </c>
      <c r="D10" s="23">
        <v>4</v>
      </c>
      <c r="E10" s="23">
        <v>0</v>
      </c>
      <c r="F10" s="23">
        <v>8</v>
      </c>
      <c r="G10" s="23">
        <v>0</v>
      </c>
      <c r="H10" s="20" t="s">
        <v>67</v>
      </c>
      <c r="I10">
        <v>18</v>
      </c>
      <c r="J10" s="21" cm="1">
        <f t="array" ref="J10">SUMPRODUCT(B10:G10, TRANSPOSE($B$14:$B$19))</f>
        <v>5.007407407407408</v>
      </c>
      <c r="K10" s="21" cm="1">
        <f t="array" ref="K10">SUMPRODUCT(B10:G10,TRANSPOSE($C$14:$C$19))</f>
        <v>4</v>
      </c>
      <c r="L10" t="str">
        <f t="shared" si="0"/>
        <v>Feasible</v>
      </c>
    </row>
    <row r="11" spans="1:12" x14ac:dyDescent="0.3">
      <c r="A11" s="18" t="s">
        <v>41</v>
      </c>
      <c r="B11" s="19">
        <v>3</v>
      </c>
      <c r="C11" s="19">
        <v>2</v>
      </c>
      <c r="D11" s="19">
        <v>4</v>
      </c>
      <c r="E11" s="19">
        <v>0</v>
      </c>
      <c r="F11" s="19">
        <v>8</v>
      </c>
      <c r="G11" s="19">
        <v>4</v>
      </c>
      <c r="H11" s="20" t="s">
        <v>67</v>
      </c>
      <c r="I11">
        <v>22</v>
      </c>
      <c r="J11" s="21" cm="1">
        <f t="array" ref="J11">SUMPRODUCT(B11:G11, TRANSPOSE($B$14:$B$19))</f>
        <v>9.007407407407408</v>
      </c>
      <c r="K11" s="21" cm="1">
        <f t="array" ref="K11">SUMPRODUCT(B11:G11,TRANSPOSE($C$14:$C$19))</f>
        <v>8</v>
      </c>
      <c r="L11" t="str">
        <f t="shared" si="0"/>
        <v>Feasible</v>
      </c>
    </row>
    <row r="12" spans="1:12" x14ac:dyDescent="0.3">
      <c r="A12" s="22" t="s">
        <v>42</v>
      </c>
      <c r="B12" s="23">
        <v>3</v>
      </c>
      <c r="C12" s="23">
        <v>2</v>
      </c>
      <c r="D12" s="23">
        <v>4</v>
      </c>
      <c r="E12" s="23">
        <v>8</v>
      </c>
      <c r="F12" s="23">
        <v>8</v>
      </c>
      <c r="G12" s="23">
        <v>4</v>
      </c>
      <c r="H12" s="20" t="s">
        <v>67</v>
      </c>
      <c r="I12">
        <v>24</v>
      </c>
      <c r="J12" s="21" cm="1">
        <f t="array" ref="J12">SUMPRODUCT(B12:G12, TRANSPOSE($B$14:$B$19))</f>
        <v>11.911111111111111</v>
      </c>
      <c r="K12" s="21" cm="1">
        <f t="array" ref="K12">SUMPRODUCT(B12:G12,TRANSPOSE($C$14:$C$19))</f>
        <v>8</v>
      </c>
      <c r="L12" t="str">
        <f t="shared" si="0"/>
        <v>Feasible</v>
      </c>
    </row>
    <row r="13" spans="1:12" x14ac:dyDescent="0.3">
      <c r="B13" s="24"/>
      <c r="C13" s="24"/>
      <c r="D13" s="24"/>
      <c r="E13" s="24"/>
      <c r="F13" s="24"/>
      <c r="G13" s="24"/>
    </row>
    <row r="14" spans="1:12" x14ac:dyDescent="0.3">
      <c r="A14" s="25" t="s">
        <v>3</v>
      </c>
      <c r="B14" s="25">
        <v>0</v>
      </c>
      <c r="C14">
        <f>ROUND(B14,0)</f>
        <v>0</v>
      </c>
    </row>
    <row r="15" spans="1:12" x14ac:dyDescent="0.3">
      <c r="A15" s="25" t="s">
        <v>4</v>
      </c>
      <c r="B15" s="25">
        <v>0</v>
      </c>
      <c r="C15">
        <f t="shared" ref="C15:C19" si="1">ROUND(B15,0)</f>
        <v>0</v>
      </c>
    </row>
    <row r="16" spans="1:12" x14ac:dyDescent="0.3">
      <c r="A16" s="25" t="s">
        <v>5</v>
      </c>
      <c r="B16" s="25">
        <v>1</v>
      </c>
      <c r="C16">
        <f t="shared" si="1"/>
        <v>1</v>
      </c>
    </row>
    <row r="17" spans="1:3" x14ac:dyDescent="0.3">
      <c r="A17" s="25" t="s">
        <v>6</v>
      </c>
      <c r="B17" s="25">
        <v>0.36296296296296293</v>
      </c>
      <c r="C17">
        <f t="shared" si="1"/>
        <v>0</v>
      </c>
    </row>
    <row r="18" spans="1:3" x14ac:dyDescent="0.3">
      <c r="A18" s="25" t="s">
        <v>7</v>
      </c>
      <c r="B18" s="25">
        <v>0.12592592592592602</v>
      </c>
      <c r="C18">
        <f t="shared" si="1"/>
        <v>0</v>
      </c>
    </row>
    <row r="19" spans="1:3" x14ac:dyDescent="0.3">
      <c r="A19" s="25" t="s">
        <v>8</v>
      </c>
      <c r="B19" s="25">
        <v>1</v>
      </c>
      <c r="C19">
        <f t="shared" si="1"/>
        <v>1</v>
      </c>
    </row>
    <row r="21" spans="1:3" x14ac:dyDescent="0.3">
      <c r="A21" s="26" t="s">
        <v>68</v>
      </c>
      <c r="B21" s="26" cm="1">
        <f t="array" ref="B21">SUMPRODUCT($B$2:$G$2, TRANSPOSE(B14:B19))</f>
        <v>4134.0740740740748</v>
      </c>
      <c r="C21" s="26" cm="1">
        <f t="array" ref="C21">SUMPRODUCT($B$2:$G$2, TRANSPOSE(C14:C19))</f>
        <v>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247F-BFBE-4800-BEB8-EF18AC049555}">
  <dimension ref="A1:J21"/>
  <sheetViews>
    <sheetView workbookViewId="0">
      <selection activeCell="B21" sqref="B21"/>
    </sheetView>
  </sheetViews>
  <sheetFormatPr defaultRowHeight="14.4" x14ac:dyDescent="0.3"/>
  <sheetData>
    <row r="1" spans="1:10" x14ac:dyDescent="0.3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4"/>
      <c r="I1" s="15"/>
    </row>
    <row r="2" spans="1:10" x14ac:dyDescent="0.3">
      <c r="A2" s="16" t="s">
        <v>32</v>
      </c>
      <c r="B2" s="17">
        <v>100</v>
      </c>
      <c r="C2" s="17">
        <v>600</v>
      </c>
      <c r="D2" s="17">
        <v>1200</v>
      </c>
      <c r="E2" s="17">
        <v>2400</v>
      </c>
      <c r="F2" s="17">
        <v>500</v>
      </c>
      <c r="G2" s="17">
        <v>2000</v>
      </c>
      <c r="H2" s="7"/>
    </row>
    <row r="3" spans="1:10" x14ac:dyDescent="0.3">
      <c r="A3" s="18" t="s">
        <v>33</v>
      </c>
      <c r="B3" s="19">
        <v>8</v>
      </c>
      <c r="C3" s="19">
        <v>12</v>
      </c>
      <c r="D3" s="19">
        <v>13</v>
      </c>
      <c r="E3" s="19">
        <v>64</v>
      </c>
      <c r="F3" s="19">
        <v>22</v>
      </c>
      <c r="G3" s="19">
        <v>41</v>
      </c>
      <c r="H3" s="20" t="s">
        <v>67</v>
      </c>
      <c r="I3">
        <v>80</v>
      </c>
      <c r="J3" s="27" cm="1">
        <f t="array" ref="J3">SUMPRODUCT(B3:G3, TRANSPOSE($B$14:$B$19))</f>
        <v>66</v>
      </c>
    </row>
    <row r="4" spans="1:10" x14ac:dyDescent="0.3">
      <c r="A4" s="22" t="s">
        <v>34</v>
      </c>
      <c r="B4" s="23">
        <v>8</v>
      </c>
      <c r="C4" s="23">
        <v>12</v>
      </c>
      <c r="D4" s="23">
        <v>13</v>
      </c>
      <c r="E4" s="23">
        <v>75</v>
      </c>
      <c r="F4" s="23">
        <v>22</v>
      </c>
      <c r="G4" s="23">
        <v>41</v>
      </c>
      <c r="H4" s="20" t="s">
        <v>67</v>
      </c>
      <c r="I4">
        <v>96</v>
      </c>
      <c r="J4" s="27" cm="1">
        <f t="array" ref="J4">SUMPRODUCT(B4:G4, TRANSPOSE($B$14:$B$19))</f>
        <v>66</v>
      </c>
    </row>
    <row r="5" spans="1:10" x14ac:dyDescent="0.3">
      <c r="A5" s="18" t="s">
        <v>35</v>
      </c>
      <c r="B5" s="19">
        <v>3</v>
      </c>
      <c r="C5" s="19">
        <v>6</v>
      </c>
      <c r="D5" s="19">
        <v>4</v>
      </c>
      <c r="E5" s="19">
        <v>18</v>
      </c>
      <c r="F5" s="19">
        <v>6</v>
      </c>
      <c r="G5" s="19">
        <v>4</v>
      </c>
      <c r="H5" s="20" t="s">
        <v>67</v>
      </c>
      <c r="I5">
        <v>20</v>
      </c>
      <c r="J5" s="27" cm="1">
        <f t="array" ref="J5">SUMPRODUCT(B5:G5, TRANSPOSE($B$14:$B$19))</f>
        <v>14</v>
      </c>
    </row>
    <row r="6" spans="1:10" x14ac:dyDescent="0.3">
      <c r="A6" s="22" t="s">
        <v>36</v>
      </c>
      <c r="B6" s="23">
        <v>5</v>
      </c>
      <c r="C6" s="23">
        <v>10</v>
      </c>
      <c r="D6" s="23">
        <v>8</v>
      </c>
      <c r="E6" s="23">
        <v>32</v>
      </c>
      <c r="F6" s="23">
        <v>6</v>
      </c>
      <c r="G6" s="23">
        <v>12</v>
      </c>
      <c r="H6" s="20" t="s">
        <v>67</v>
      </c>
      <c r="I6">
        <v>36</v>
      </c>
      <c r="J6" s="27" cm="1">
        <f t="array" ref="J6">SUMPRODUCT(B6:G6, TRANSPOSE($B$14:$B$19))</f>
        <v>30</v>
      </c>
    </row>
    <row r="7" spans="1:10" x14ac:dyDescent="0.3">
      <c r="A7" s="18" t="s">
        <v>37</v>
      </c>
      <c r="B7" s="19">
        <v>5</v>
      </c>
      <c r="C7" s="19">
        <v>13</v>
      </c>
      <c r="D7" s="19">
        <v>8</v>
      </c>
      <c r="E7" s="19">
        <v>42</v>
      </c>
      <c r="F7" s="19">
        <v>6</v>
      </c>
      <c r="G7" s="19">
        <v>20</v>
      </c>
      <c r="H7" s="20" t="s">
        <v>67</v>
      </c>
      <c r="I7">
        <v>44</v>
      </c>
      <c r="J7" s="27" cm="1">
        <f t="array" ref="J7">SUMPRODUCT(B7:G7, TRANSPOSE($B$14:$B$19))</f>
        <v>41</v>
      </c>
    </row>
    <row r="8" spans="1:10" x14ac:dyDescent="0.3">
      <c r="A8" s="22" t="s">
        <v>38</v>
      </c>
      <c r="B8" s="23">
        <v>5</v>
      </c>
      <c r="C8" s="23">
        <v>13</v>
      </c>
      <c r="D8" s="23">
        <v>8</v>
      </c>
      <c r="E8" s="23">
        <v>48</v>
      </c>
      <c r="F8" s="23">
        <v>6</v>
      </c>
      <c r="G8" s="23">
        <v>20</v>
      </c>
      <c r="H8" s="20" t="s">
        <v>67</v>
      </c>
      <c r="I8">
        <v>48</v>
      </c>
      <c r="J8" s="27" cm="1">
        <f t="array" ref="J8">SUMPRODUCT(B8:G8, TRANSPOSE($B$14:$B$19))</f>
        <v>41</v>
      </c>
    </row>
    <row r="9" spans="1:10" x14ac:dyDescent="0.3">
      <c r="A9" s="18" t="s">
        <v>39</v>
      </c>
      <c r="B9" s="19">
        <v>0</v>
      </c>
      <c r="C9" s="19">
        <v>0</v>
      </c>
      <c r="D9" s="19">
        <v>0</v>
      </c>
      <c r="E9" s="19">
        <v>0</v>
      </c>
      <c r="F9" s="19">
        <v>8</v>
      </c>
      <c r="G9" s="19">
        <v>0</v>
      </c>
      <c r="H9" s="20" t="s">
        <v>67</v>
      </c>
      <c r="I9">
        <v>10</v>
      </c>
      <c r="J9" s="27" cm="1">
        <f t="array" ref="J9">SUMPRODUCT(B9:G9, TRANSPOSE($B$14:$B$19))</f>
        <v>0</v>
      </c>
    </row>
    <row r="10" spans="1:10" x14ac:dyDescent="0.3">
      <c r="A10" s="22" t="s">
        <v>40</v>
      </c>
      <c r="B10" s="23">
        <v>3</v>
      </c>
      <c r="C10" s="23">
        <v>0</v>
      </c>
      <c r="D10" s="23">
        <v>4</v>
      </c>
      <c r="E10" s="23">
        <v>0</v>
      </c>
      <c r="F10" s="23">
        <v>8</v>
      </c>
      <c r="G10" s="23">
        <v>0</v>
      </c>
      <c r="H10" s="20" t="s">
        <v>67</v>
      </c>
      <c r="I10">
        <v>18</v>
      </c>
      <c r="J10" s="27" cm="1">
        <f t="array" ref="J10">SUMPRODUCT(B10:G10, TRANSPOSE($B$14:$B$19))</f>
        <v>4</v>
      </c>
    </row>
    <row r="11" spans="1:10" x14ac:dyDescent="0.3">
      <c r="A11" s="18" t="s">
        <v>41</v>
      </c>
      <c r="B11" s="19">
        <v>3</v>
      </c>
      <c r="C11" s="19">
        <v>2</v>
      </c>
      <c r="D11" s="19">
        <v>4</v>
      </c>
      <c r="E11" s="19">
        <v>0</v>
      </c>
      <c r="F11" s="19">
        <v>8</v>
      </c>
      <c r="G11" s="19">
        <v>4</v>
      </c>
      <c r="H11" s="20" t="s">
        <v>67</v>
      </c>
      <c r="I11">
        <v>22</v>
      </c>
      <c r="J11" s="27" cm="1">
        <f t="array" ref="J11">SUMPRODUCT(B11:G11, TRANSPOSE($B$14:$B$19))</f>
        <v>10</v>
      </c>
    </row>
    <row r="12" spans="1:10" x14ac:dyDescent="0.3">
      <c r="A12" s="22" t="s">
        <v>42</v>
      </c>
      <c r="B12" s="23">
        <v>3</v>
      </c>
      <c r="C12" s="23">
        <v>2</v>
      </c>
      <c r="D12" s="23">
        <v>4</v>
      </c>
      <c r="E12" s="23">
        <v>8</v>
      </c>
      <c r="F12" s="23">
        <v>8</v>
      </c>
      <c r="G12" s="23">
        <v>4</v>
      </c>
      <c r="H12" s="20" t="s">
        <v>67</v>
      </c>
      <c r="I12">
        <v>24</v>
      </c>
      <c r="J12" s="27" cm="1">
        <f t="array" ref="J12">SUMPRODUCT(B12:G12, TRANSPOSE($B$14:$B$19))</f>
        <v>10</v>
      </c>
    </row>
    <row r="13" spans="1:10" x14ac:dyDescent="0.3">
      <c r="B13" s="24"/>
      <c r="C13" s="24"/>
      <c r="D13" s="24"/>
      <c r="E13" s="24"/>
      <c r="F13" s="24"/>
      <c r="G13" s="24"/>
    </row>
    <row r="14" spans="1:10" x14ac:dyDescent="0.3">
      <c r="A14" s="25" t="s">
        <v>3</v>
      </c>
      <c r="B14" s="25">
        <v>0</v>
      </c>
    </row>
    <row r="15" spans="1:10" x14ac:dyDescent="0.3">
      <c r="A15" s="25" t="s">
        <v>4</v>
      </c>
      <c r="B15" s="25">
        <v>1</v>
      </c>
    </row>
    <row r="16" spans="1:10" x14ac:dyDescent="0.3">
      <c r="A16" s="25" t="s">
        <v>5</v>
      </c>
      <c r="B16" s="25">
        <v>1</v>
      </c>
    </row>
    <row r="17" spans="1:2" x14ac:dyDescent="0.3">
      <c r="A17" s="25" t="s">
        <v>6</v>
      </c>
      <c r="B17" s="25">
        <v>0</v>
      </c>
    </row>
    <row r="18" spans="1:2" x14ac:dyDescent="0.3">
      <c r="A18" s="25" t="s">
        <v>7</v>
      </c>
      <c r="B18" s="25">
        <v>0</v>
      </c>
    </row>
    <row r="19" spans="1:2" x14ac:dyDescent="0.3">
      <c r="A19" s="25" t="s">
        <v>8</v>
      </c>
      <c r="B19" s="25">
        <v>1</v>
      </c>
    </row>
    <row r="21" spans="1:2" x14ac:dyDescent="0.3">
      <c r="A21" s="26" t="s">
        <v>68</v>
      </c>
      <c r="B21" s="26" cm="1">
        <f t="array" ref="B21">SUMPRODUCT(B2:G2, TRANSPOSE(B14:B19))</f>
        <v>3800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D5D9-9869-4979-95FD-6BC42F58BD40}">
  <dimension ref="A1:P25"/>
  <sheetViews>
    <sheetView workbookViewId="0">
      <selection activeCell="C25" sqref="C25"/>
    </sheetView>
  </sheetViews>
  <sheetFormatPr defaultRowHeight="14.4" x14ac:dyDescent="0.3"/>
  <sheetData>
    <row r="1" spans="1:16" x14ac:dyDescent="0.3">
      <c r="A1" s="28" t="s">
        <v>69</v>
      </c>
      <c r="B1" s="29" t="s">
        <v>70</v>
      </c>
      <c r="C1" s="29" t="s">
        <v>71</v>
      </c>
      <c r="D1" s="29" t="s">
        <v>72</v>
      </c>
      <c r="E1" s="29" t="s">
        <v>73</v>
      </c>
      <c r="F1" s="29" t="s">
        <v>74</v>
      </c>
      <c r="G1" s="29" t="s">
        <v>75</v>
      </c>
      <c r="H1" s="29" t="s">
        <v>76</v>
      </c>
      <c r="I1" s="29" t="s">
        <v>77</v>
      </c>
      <c r="J1" s="29" t="s">
        <v>78</v>
      </c>
      <c r="K1" s="29" t="s">
        <v>79</v>
      </c>
    </row>
    <row r="2" spans="1:16" x14ac:dyDescent="0.3">
      <c r="A2" s="28" t="s">
        <v>80</v>
      </c>
      <c r="B2" s="30">
        <v>600.1</v>
      </c>
      <c r="C2" s="30">
        <v>310.5</v>
      </c>
      <c r="D2" s="30">
        <v>1800</v>
      </c>
      <c r="E2" s="30">
        <v>3850</v>
      </c>
      <c r="F2" s="30">
        <v>18.600000000000001</v>
      </c>
      <c r="G2" s="30">
        <v>198.7</v>
      </c>
      <c r="H2" s="30">
        <v>882</v>
      </c>
      <c r="I2" s="30">
        <v>4200</v>
      </c>
      <c r="J2" s="30">
        <v>402.5</v>
      </c>
      <c r="K2" s="30">
        <v>327</v>
      </c>
    </row>
    <row r="3" spans="1:16" x14ac:dyDescent="0.3">
      <c r="A3" s="28" t="s">
        <v>81</v>
      </c>
      <c r="B3" s="31">
        <v>20</v>
      </c>
      <c r="C3" s="31">
        <v>5</v>
      </c>
      <c r="D3" s="31">
        <v>100</v>
      </c>
      <c r="E3" s="31">
        <v>200</v>
      </c>
      <c r="F3" s="31">
        <v>2</v>
      </c>
      <c r="G3" s="31">
        <v>4</v>
      </c>
      <c r="H3" s="31">
        <v>60</v>
      </c>
      <c r="I3" s="31">
        <v>150</v>
      </c>
      <c r="J3" s="31">
        <v>80</v>
      </c>
      <c r="K3" s="31">
        <v>40</v>
      </c>
      <c r="L3" t="s">
        <v>67</v>
      </c>
      <c r="M3" s="32">
        <v>450</v>
      </c>
      <c r="N3" s="27" cm="1">
        <f t="array" ref="N3">SUMPRODUCT(B3:K3, TRANSPOSE($B$14:$B$23))</f>
        <v>391.54641909814319</v>
      </c>
      <c r="O3" cm="1">
        <f t="array" ref="O3">SUMPRODUCT(B3:K3,TRANSPOSE($C$14:$C$23))</f>
        <v>379</v>
      </c>
      <c r="P3" t="str">
        <f>IF(M3&gt;=O3,"feasible","not feaible")</f>
        <v>feasible</v>
      </c>
    </row>
    <row r="4" spans="1:16" x14ac:dyDescent="0.3">
      <c r="A4" s="28" t="s">
        <v>82</v>
      </c>
      <c r="B4" s="33">
        <v>20</v>
      </c>
      <c r="C4" s="33">
        <v>7</v>
      </c>
      <c r="D4" s="33">
        <v>130</v>
      </c>
      <c r="E4" s="33">
        <v>280</v>
      </c>
      <c r="F4" s="33">
        <v>2</v>
      </c>
      <c r="G4" s="33">
        <v>8</v>
      </c>
      <c r="H4" s="33">
        <v>110</v>
      </c>
      <c r="I4" s="33">
        <v>210</v>
      </c>
      <c r="J4" s="33">
        <v>100</v>
      </c>
      <c r="K4" s="33">
        <v>40</v>
      </c>
      <c r="L4" t="s">
        <v>67</v>
      </c>
      <c r="M4" s="32">
        <v>540</v>
      </c>
      <c r="N4" s="27" cm="1">
        <f t="array" ref="N4">SUMPRODUCT(B4:K4, TRANSPOSE($B$14:$B$23))</f>
        <v>540</v>
      </c>
      <c r="O4" cm="1">
        <f t="array" ref="O4">SUMPRODUCT(B4:K4,TRANSPOSE($C$14:$C$23))</f>
        <v>525</v>
      </c>
      <c r="P4" t="str">
        <f t="shared" ref="P4:P12" si="0">IF(M4&gt;=O4,"feasible","not feaible")</f>
        <v>feasible</v>
      </c>
    </row>
    <row r="5" spans="1:16" x14ac:dyDescent="0.3">
      <c r="A5" s="28" t="s">
        <v>83</v>
      </c>
      <c r="B5" s="31">
        <v>60</v>
      </c>
      <c r="C5" s="31">
        <v>3</v>
      </c>
      <c r="D5" s="31">
        <v>50</v>
      </c>
      <c r="E5" s="31">
        <v>100</v>
      </c>
      <c r="F5" s="31">
        <v>4</v>
      </c>
      <c r="G5" s="31">
        <v>2</v>
      </c>
      <c r="H5" s="31">
        <v>20</v>
      </c>
      <c r="I5" s="31">
        <v>40</v>
      </c>
      <c r="J5" s="31">
        <v>6</v>
      </c>
      <c r="K5" s="31">
        <v>12</v>
      </c>
      <c r="L5" t="s">
        <v>67</v>
      </c>
      <c r="M5" s="32">
        <v>200</v>
      </c>
      <c r="N5" s="27" cm="1">
        <f t="array" ref="N5">SUMPRODUCT(B5:K5, TRANSPOSE($B$14:$B$23))</f>
        <v>199.99999999999997</v>
      </c>
      <c r="O5" cm="1">
        <f t="array" ref="O5">SUMPRODUCT(B5:K5,TRANSPOSE($C$14:$C$23))</f>
        <v>205</v>
      </c>
      <c r="P5" t="str">
        <f t="shared" si="0"/>
        <v>not feaible</v>
      </c>
    </row>
    <row r="6" spans="1:16" x14ac:dyDescent="0.3">
      <c r="A6" s="28" t="s">
        <v>84</v>
      </c>
      <c r="B6" s="33">
        <v>60</v>
      </c>
      <c r="C6" s="33">
        <v>8</v>
      </c>
      <c r="D6" s="33">
        <v>70</v>
      </c>
      <c r="E6" s="33">
        <v>200</v>
      </c>
      <c r="F6" s="33">
        <v>4</v>
      </c>
      <c r="G6" s="33">
        <v>6</v>
      </c>
      <c r="H6" s="33">
        <v>40</v>
      </c>
      <c r="I6" s="33">
        <v>70</v>
      </c>
      <c r="J6" s="33">
        <v>16</v>
      </c>
      <c r="K6" s="33">
        <v>20</v>
      </c>
      <c r="L6" t="s">
        <v>67</v>
      </c>
      <c r="M6" s="32">
        <v>360</v>
      </c>
      <c r="N6" s="27" cm="1">
        <f t="array" ref="N6">SUMPRODUCT(B6:K6, TRANSPOSE($B$14:$B$23))</f>
        <v>334.42175066312996</v>
      </c>
      <c r="O6" cm="1">
        <f t="array" ref="O6">SUMPRODUCT(B6:K6,TRANSPOSE($C$14:$C$23))</f>
        <v>344</v>
      </c>
      <c r="P6" t="str">
        <f t="shared" si="0"/>
        <v>feasible</v>
      </c>
    </row>
    <row r="7" spans="1:16" x14ac:dyDescent="0.3">
      <c r="A7" s="28" t="s">
        <v>85</v>
      </c>
      <c r="B7" s="31">
        <v>60</v>
      </c>
      <c r="C7" s="31">
        <v>13</v>
      </c>
      <c r="D7" s="31">
        <v>70</v>
      </c>
      <c r="E7" s="31">
        <v>250</v>
      </c>
      <c r="F7" s="31">
        <v>4</v>
      </c>
      <c r="G7" s="31">
        <v>10</v>
      </c>
      <c r="H7" s="31">
        <v>60</v>
      </c>
      <c r="I7" s="31">
        <v>90</v>
      </c>
      <c r="J7" s="31">
        <v>20</v>
      </c>
      <c r="K7" s="31">
        <v>24</v>
      </c>
      <c r="L7" t="s">
        <v>67</v>
      </c>
      <c r="M7" s="32">
        <v>440</v>
      </c>
      <c r="N7" s="27" cm="1">
        <f t="array" ref="N7">SUMPRODUCT(B7:K7, TRANSPOSE($B$14:$B$23))</f>
        <v>406.76392572944292</v>
      </c>
      <c r="O7" cm="1">
        <f t="array" ref="O7">SUMPRODUCT(B7:K7,TRANSPOSE($C$14:$C$23))</f>
        <v>423</v>
      </c>
      <c r="P7" t="str">
        <f t="shared" si="0"/>
        <v>feasible</v>
      </c>
    </row>
    <row r="8" spans="1:16" x14ac:dyDescent="0.3">
      <c r="A8" s="28" t="s">
        <v>86</v>
      </c>
      <c r="B8" s="33">
        <v>60</v>
      </c>
      <c r="C8" s="33">
        <v>13</v>
      </c>
      <c r="D8" s="33">
        <v>70</v>
      </c>
      <c r="E8" s="33">
        <v>280</v>
      </c>
      <c r="F8" s="33">
        <v>4</v>
      </c>
      <c r="G8" s="33">
        <v>10</v>
      </c>
      <c r="H8" s="33">
        <v>70</v>
      </c>
      <c r="I8" s="33">
        <v>105</v>
      </c>
      <c r="J8" s="33">
        <v>22</v>
      </c>
      <c r="K8" s="33">
        <v>28</v>
      </c>
      <c r="L8" t="s">
        <v>67</v>
      </c>
      <c r="M8" s="32">
        <v>480</v>
      </c>
      <c r="N8" s="27" cm="1">
        <f t="array" ref="N8">SUMPRODUCT(B8:K8, TRANSPOSE($B$14:$B$23))</f>
        <v>447.76923076923072</v>
      </c>
      <c r="O8" cm="1">
        <f t="array" ref="O8">SUMPRODUCT(B8:K8,TRANSPOSE($C$14:$C$23))</f>
        <v>468</v>
      </c>
      <c r="P8" t="str">
        <f t="shared" si="0"/>
        <v>feasible</v>
      </c>
    </row>
    <row r="9" spans="1:16" x14ac:dyDescent="0.3">
      <c r="A9" s="28" t="s">
        <v>87</v>
      </c>
      <c r="B9" s="31">
        <v>5</v>
      </c>
      <c r="C9" s="31">
        <v>2</v>
      </c>
      <c r="D9" s="31">
        <v>20</v>
      </c>
      <c r="E9" s="31">
        <v>100</v>
      </c>
      <c r="F9" s="31">
        <v>2</v>
      </c>
      <c r="G9" s="31">
        <v>5</v>
      </c>
      <c r="H9" s="31">
        <v>10</v>
      </c>
      <c r="I9" s="31">
        <v>60</v>
      </c>
      <c r="J9" s="31">
        <v>0</v>
      </c>
      <c r="K9" s="31">
        <v>0</v>
      </c>
      <c r="L9" t="s">
        <v>67</v>
      </c>
      <c r="M9" s="32">
        <v>200</v>
      </c>
      <c r="N9" s="27" cm="1">
        <f t="array" ref="N9">SUMPRODUCT(B9:K9, TRANSPOSE($B$14:$B$23))</f>
        <v>166.29442970822279</v>
      </c>
      <c r="O9" cm="1">
        <f t="array" ref="O9">SUMPRODUCT(B9:K9,TRANSPOSE($C$14:$C$23))</f>
        <v>172</v>
      </c>
      <c r="P9" t="str">
        <f t="shared" si="0"/>
        <v>feasible</v>
      </c>
    </row>
    <row r="10" spans="1:16" x14ac:dyDescent="0.3">
      <c r="A10" s="28" t="s">
        <v>88</v>
      </c>
      <c r="B10" s="33">
        <v>45</v>
      </c>
      <c r="C10" s="33">
        <v>14</v>
      </c>
      <c r="D10" s="33">
        <v>80</v>
      </c>
      <c r="E10" s="33">
        <v>180</v>
      </c>
      <c r="F10" s="33">
        <v>6</v>
      </c>
      <c r="G10" s="33">
        <v>10</v>
      </c>
      <c r="H10" s="33">
        <v>40</v>
      </c>
      <c r="I10" s="33">
        <v>100</v>
      </c>
      <c r="J10" s="33">
        <v>20</v>
      </c>
      <c r="K10" s="33">
        <v>0</v>
      </c>
      <c r="L10" t="s">
        <v>67</v>
      </c>
      <c r="M10" s="32">
        <v>360</v>
      </c>
      <c r="N10" s="27" cm="1">
        <f t="array" ref="N10">SUMPRODUCT(B10:K10, TRANSPOSE($B$14:$B$23))</f>
        <v>349.83554376657821</v>
      </c>
      <c r="O10" cm="1">
        <f t="array" ref="O10">SUMPRODUCT(B10:K10,TRANSPOSE($C$14:$C$23))</f>
        <v>349</v>
      </c>
      <c r="P10" t="str">
        <f t="shared" si="0"/>
        <v>feasible</v>
      </c>
    </row>
    <row r="11" spans="1:16" x14ac:dyDescent="0.3">
      <c r="A11" s="28" t="s">
        <v>89</v>
      </c>
      <c r="B11" s="31">
        <v>55</v>
      </c>
      <c r="C11" s="31">
        <v>14</v>
      </c>
      <c r="D11" s="31">
        <v>80</v>
      </c>
      <c r="E11" s="31">
        <v>200</v>
      </c>
      <c r="F11" s="31">
        <v>6</v>
      </c>
      <c r="G11" s="31">
        <v>10</v>
      </c>
      <c r="H11" s="31">
        <v>50</v>
      </c>
      <c r="I11" s="31">
        <v>140</v>
      </c>
      <c r="J11" s="31">
        <v>30</v>
      </c>
      <c r="K11" s="31">
        <v>40</v>
      </c>
      <c r="L11" t="s">
        <v>67</v>
      </c>
      <c r="M11" s="32">
        <v>440</v>
      </c>
      <c r="N11" s="27" cm="1">
        <f t="array" ref="N11">SUMPRODUCT(B11:K11, TRANSPOSE($B$14:$B$23))</f>
        <v>414.91777188328911</v>
      </c>
      <c r="O11" cm="1">
        <f t="array" ref="O11">SUMPRODUCT(B11:K11,TRANSPOSE($C$14:$C$23))</f>
        <v>419</v>
      </c>
      <c r="P11" t="str">
        <f t="shared" si="0"/>
        <v>feasible</v>
      </c>
    </row>
    <row r="12" spans="1:16" x14ac:dyDescent="0.3">
      <c r="A12" s="28" t="s">
        <v>90</v>
      </c>
      <c r="B12" s="33">
        <v>65</v>
      </c>
      <c r="C12" s="33">
        <v>14</v>
      </c>
      <c r="D12" s="33">
        <v>80</v>
      </c>
      <c r="E12" s="33">
        <v>220</v>
      </c>
      <c r="F12" s="33">
        <v>6</v>
      </c>
      <c r="G12" s="33">
        <v>10</v>
      </c>
      <c r="H12" s="33">
        <v>50</v>
      </c>
      <c r="I12" s="33">
        <v>180</v>
      </c>
      <c r="J12" s="33">
        <v>30</v>
      </c>
      <c r="K12" s="33">
        <v>50</v>
      </c>
      <c r="L12" t="s">
        <v>67</v>
      </c>
      <c r="M12" s="32">
        <v>480</v>
      </c>
      <c r="N12" s="27" cm="1">
        <f t="array" ref="N12">SUMPRODUCT(B12:K12, TRANSPOSE($B$14:$B$23))</f>
        <v>479.99999999999994</v>
      </c>
      <c r="O12" cm="1">
        <f t="array" ref="O12">SUMPRODUCT(B12:K12,TRANSPOSE($C$14:$C$23))</f>
        <v>489</v>
      </c>
      <c r="P12" t="str">
        <f t="shared" si="0"/>
        <v>not feaible</v>
      </c>
    </row>
    <row r="14" spans="1:16" x14ac:dyDescent="0.3">
      <c r="A14" s="25" t="s">
        <v>3</v>
      </c>
      <c r="B14" s="25">
        <v>0.77453580901856744</v>
      </c>
      <c r="C14">
        <f>ROUND(B14,0)</f>
        <v>1</v>
      </c>
    </row>
    <row r="15" spans="1:16" x14ac:dyDescent="0.3">
      <c r="A15" s="25" t="s">
        <v>4</v>
      </c>
      <c r="B15" s="25">
        <v>1</v>
      </c>
      <c r="C15">
        <f t="shared" ref="C15:C23" si="1">ROUND(B15,0)</f>
        <v>1</v>
      </c>
    </row>
    <row r="16" spans="1:16" x14ac:dyDescent="0.3">
      <c r="A16" s="25" t="s">
        <v>5</v>
      </c>
      <c r="B16" s="25">
        <v>0.43687002652519924</v>
      </c>
      <c r="C16">
        <f t="shared" si="1"/>
        <v>0</v>
      </c>
    </row>
    <row r="17" spans="1:3" x14ac:dyDescent="0.3">
      <c r="A17" s="25" t="s">
        <v>6</v>
      </c>
      <c r="B17" s="25">
        <v>0.86684350132625965</v>
      </c>
      <c r="C17">
        <f t="shared" si="1"/>
        <v>1</v>
      </c>
    </row>
    <row r="18" spans="1:3" x14ac:dyDescent="0.3">
      <c r="A18" s="25" t="s">
        <v>7</v>
      </c>
      <c r="B18" s="25">
        <v>0</v>
      </c>
      <c r="C18">
        <f t="shared" si="1"/>
        <v>0</v>
      </c>
    </row>
    <row r="19" spans="1:3" x14ac:dyDescent="0.3">
      <c r="A19" s="25" t="s">
        <v>8</v>
      </c>
      <c r="B19" s="25">
        <v>1</v>
      </c>
      <c r="C19">
        <f t="shared" si="1"/>
        <v>1</v>
      </c>
    </row>
    <row r="20" spans="1:3" x14ac:dyDescent="0.3">
      <c r="A20" s="25" t="s">
        <v>9</v>
      </c>
      <c r="B20" s="25">
        <v>0</v>
      </c>
      <c r="C20">
        <f t="shared" si="1"/>
        <v>0</v>
      </c>
    </row>
    <row r="21" spans="1:3" x14ac:dyDescent="0.3">
      <c r="A21" s="25" t="s">
        <v>10</v>
      </c>
      <c r="B21" s="25">
        <v>1</v>
      </c>
      <c r="C21">
        <f t="shared" si="1"/>
        <v>1</v>
      </c>
    </row>
    <row r="22" spans="1:3" x14ac:dyDescent="0.3">
      <c r="A22" s="25" t="s">
        <v>11</v>
      </c>
      <c r="B22" s="25">
        <v>0</v>
      </c>
      <c r="C22">
        <f t="shared" si="1"/>
        <v>0</v>
      </c>
    </row>
    <row r="23" spans="1:3" x14ac:dyDescent="0.3">
      <c r="A23" s="25" t="s">
        <v>12</v>
      </c>
      <c r="B23" s="25">
        <v>0</v>
      </c>
      <c r="C23">
        <f t="shared" si="1"/>
        <v>0</v>
      </c>
    </row>
    <row r="25" spans="1:3" x14ac:dyDescent="0.3">
      <c r="A25" s="34" t="s">
        <v>91</v>
      </c>
      <c r="B25" s="35" cm="1">
        <f t="array" ref="B25">SUMPRODUCT($B$2:$K$2, TRANSPOSE(B14:B23))</f>
        <v>9297.7124668435008</v>
      </c>
      <c r="C25" s="35" cm="1">
        <f t="array" ref="C25">SUMPRODUCT($B$2:$K$2, TRANSPOSE(C14:C23))</f>
        <v>9159.2999999999993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0AD0-1170-487D-8C7B-445A3F0A7992}">
  <dimension ref="A1:N25"/>
  <sheetViews>
    <sheetView workbookViewId="0">
      <selection activeCell="B25" sqref="B25"/>
    </sheetView>
  </sheetViews>
  <sheetFormatPr defaultRowHeight="14.4" x14ac:dyDescent="0.3"/>
  <sheetData>
    <row r="1" spans="1:14" x14ac:dyDescent="0.3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M1" s="13" t="s">
        <v>31</v>
      </c>
    </row>
    <row r="2" spans="1:14" x14ac:dyDescent="0.3">
      <c r="A2" s="16" t="s">
        <v>32</v>
      </c>
      <c r="B2" s="17">
        <v>600.1</v>
      </c>
      <c r="C2" s="17">
        <v>310.5</v>
      </c>
      <c r="D2" s="17">
        <v>1800</v>
      </c>
      <c r="E2" s="17">
        <v>3850</v>
      </c>
      <c r="F2" s="17">
        <v>18.600000000000001</v>
      </c>
      <c r="G2" s="17">
        <v>198.7</v>
      </c>
      <c r="H2" s="17">
        <v>882</v>
      </c>
      <c r="I2" s="17">
        <v>4200</v>
      </c>
      <c r="J2" s="17">
        <v>402.5</v>
      </c>
      <c r="K2" s="17">
        <v>327</v>
      </c>
      <c r="M2" s="7"/>
    </row>
    <row r="3" spans="1:14" x14ac:dyDescent="0.3">
      <c r="A3" s="18" t="s">
        <v>33</v>
      </c>
      <c r="B3" s="19">
        <v>20</v>
      </c>
      <c r="C3" s="19">
        <v>5</v>
      </c>
      <c r="D3" s="19">
        <v>100</v>
      </c>
      <c r="E3" s="19">
        <v>200</v>
      </c>
      <c r="F3" s="19">
        <v>2</v>
      </c>
      <c r="G3" s="19">
        <v>4</v>
      </c>
      <c r="H3" s="19">
        <v>60</v>
      </c>
      <c r="I3" s="19">
        <v>150</v>
      </c>
      <c r="J3" s="19">
        <v>80</v>
      </c>
      <c r="K3" s="19">
        <v>40</v>
      </c>
      <c r="L3" t="s">
        <v>67</v>
      </c>
      <c r="M3" s="20">
        <v>450</v>
      </c>
      <c r="N3" s="27" cm="1">
        <f t="array" ref="N3">SUMPRODUCT(B3:K3, TRANSPOSE($B$14:$B$23))</f>
        <v>370</v>
      </c>
    </row>
    <row r="4" spans="1:14" x14ac:dyDescent="0.3">
      <c r="A4" s="22" t="s">
        <v>34</v>
      </c>
      <c r="B4" s="23">
        <v>20</v>
      </c>
      <c r="C4" s="23">
        <v>7</v>
      </c>
      <c r="D4" s="23">
        <v>130</v>
      </c>
      <c r="E4" s="23">
        <v>280</v>
      </c>
      <c r="F4" s="23">
        <v>2</v>
      </c>
      <c r="G4" s="23">
        <v>8</v>
      </c>
      <c r="H4" s="23">
        <v>110</v>
      </c>
      <c r="I4" s="23">
        <v>210</v>
      </c>
      <c r="J4" s="23">
        <v>100</v>
      </c>
      <c r="K4" s="23">
        <v>40</v>
      </c>
      <c r="L4" t="s">
        <v>67</v>
      </c>
      <c r="M4" s="20">
        <v>540</v>
      </c>
      <c r="N4" s="27" cm="1">
        <f t="array" ref="N4">SUMPRODUCT(B4:K4, TRANSPOSE($B$14:$B$23))</f>
        <v>510</v>
      </c>
    </row>
    <row r="5" spans="1:14" x14ac:dyDescent="0.3">
      <c r="A5" s="18" t="s">
        <v>35</v>
      </c>
      <c r="B5" s="19">
        <v>60</v>
      </c>
      <c r="C5" s="19">
        <v>3</v>
      </c>
      <c r="D5" s="19">
        <v>50</v>
      </c>
      <c r="E5" s="19">
        <v>100</v>
      </c>
      <c r="F5" s="19">
        <v>4</v>
      </c>
      <c r="G5" s="19">
        <v>2</v>
      </c>
      <c r="H5" s="19">
        <v>20</v>
      </c>
      <c r="I5" s="19">
        <v>40</v>
      </c>
      <c r="J5" s="19">
        <v>6</v>
      </c>
      <c r="K5" s="19">
        <v>12</v>
      </c>
      <c r="L5" t="s">
        <v>67</v>
      </c>
      <c r="M5" s="20">
        <v>200</v>
      </c>
      <c r="N5" s="27" cm="1">
        <f t="array" ref="N5">SUMPRODUCT(B5:K5, TRANSPOSE($B$14:$B$23))</f>
        <v>200</v>
      </c>
    </row>
    <row r="6" spans="1:14" x14ac:dyDescent="0.3">
      <c r="A6" s="22" t="s">
        <v>36</v>
      </c>
      <c r="B6" s="23">
        <v>60</v>
      </c>
      <c r="C6" s="23">
        <v>8</v>
      </c>
      <c r="D6" s="23">
        <v>70</v>
      </c>
      <c r="E6" s="23">
        <v>200</v>
      </c>
      <c r="F6" s="23">
        <v>4</v>
      </c>
      <c r="G6" s="23">
        <v>6</v>
      </c>
      <c r="H6" s="23">
        <v>40</v>
      </c>
      <c r="I6" s="23">
        <v>70</v>
      </c>
      <c r="J6" s="23">
        <v>16</v>
      </c>
      <c r="K6" s="23">
        <v>20</v>
      </c>
      <c r="L6" t="s">
        <v>67</v>
      </c>
      <c r="M6" s="20">
        <v>360</v>
      </c>
      <c r="N6" s="27" cm="1">
        <f t="array" ref="N6">SUMPRODUCT(B6:K6, TRANSPOSE($B$14:$B$23))</f>
        <v>330</v>
      </c>
    </row>
    <row r="7" spans="1:14" x14ac:dyDescent="0.3">
      <c r="A7" s="18" t="s">
        <v>37</v>
      </c>
      <c r="B7" s="19">
        <v>60</v>
      </c>
      <c r="C7" s="19">
        <v>13</v>
      </c>
      <c r="D7" s="19">
        <v>70</v>
      </c>
      <c r="E7" s="19">
        <v>250</v>
      </c>
      <c r="F7" s="19">
        <v>4</v>
      </c>
      <c r="G7" s="19">
        <v>10</v>
      </c>
      <c r="H7" s="19">
        <v>60</v>
      </c>
      <c r="I7" s="19">
        <v>90</v>
      </c>
      <c r="J7" s="19">
        <v>20</v>
      </c>
      <c r="K7" s="19">
        <v>24</v>
      </c>
      <c r="L7" t="s">
        <v>67</v>
      </c>
      <c r="M7" s="20">
        <v>440</v>
      </c>
      <c r="N7" s="27" cm="1">
        <f t="array" ref="N7">SUMPRODUCT(B7:K7, TRANSPOSE($B$14:$B$23))</f>
        <v>400</v>
      </c>
    </row>
    <row r="8" spans="1:14" x14ac:dyDescent="0.3">
      <c r="A8" s="22" t="s">
        <v>38</v>
      </c>
      <c r="B8" s="23">
        <v>60</v>
      </c>
      <c r="C8" s="23">
        <v>13</v>
      </c>
      <c r="D8" s="23">
        <v>70</v>
      </c>
      <c r="E8" s="23">
        <v>280</v>
      </c>
      <c r="F8" s="23">
        <v>4</v>
      </c>
      <c r="G8" s="23">
        <v>10</v>
      </c>
      <c r="H8" s="23">
        <v>70</v>
      </c>
      <c r="I8" s="23">
        <v>105</v>
      </c>
      <c r="J8" s="23">
        <v>22</v>
      </c>
      <c r="K8" s="23">
        <v>28</v>
      </c>
      <c r="L8" t="s">
        <v>67</v>
      </c>
      <c r="M8" s="20">
        <v>480</v>
      </c>
      <c r="N8" s="27" cm="1">
        <f t="array" ref="N8">SUMPRODUCT(B8:K8, TRANSPOSE($B$14:$B$23))</f>
        <v>445</v>
      </c>
    </row>
    <row r="9" spans="1:14" x14ac:dyDescent="0.3">
      <c r="A9" s="18" t="s">
        <v>39</v>
      </c>
      <c r="B9" s="19">
        <v>5</v>
      </c>
      <c r="C9" s="19">
        <v>2</v>
      </c>
      <c r="D9" s="19">
        <v>20</v>
      </c>
      <c r="E9" s="19">
        <v>100</v>
      </c>
      <c r="F9" s="19">
        <v>2</v>
      </c>
      <c r="G9" s="19">
        <v>5</v>
      </c>
      <c r="H9" s="19">
        <v>10</v>
      </c>
      <c r="I9" s="19">
        <v>60</v>
      </c>
      <c r="J9" s="19">
        <v>0</v>
      </c>
      <c r="K9" s="19">
        <v>0</v>
      </c>
      <c r="L9" t="s">
        <v>67</v>
      </c>
      <c r="M9" s="20">
        <v>200</v>
      </c>
      <c r="N9" s="27" cm="1">
        <f t="array" ref="N9">SUMPRODUCT(B9:K9, TRANSPOSE($B$14:$B$23))</f>
        <v>165</v>
      </c>
    </row>
    <row r="10" spans="1:14" x14ac:dyDescent="0.3">
      <c r="A10" s="22" t="s">
        <v>40</v>
      </c>
      <c r="B10" s="23">
        <v>45</v>
      </c>
      <c r="C10" s="23">
        <v>14</v>
      </c>
      <c r="D10" s="23">
        <v>80</v>
      </c>
      <c r="E10" s="23">
        <v>180</v>
      </c>
      <c r="F10" s="23">
        <v>6</v>
      </c>
      <c r="G10" s="23">
        <v>10</v>
      </c>
      <c r="H10" s="23">
        <v>40</v>
      </c>
      <c r="I10" s="23">
        <v>100</v>
      </c>
      <c r="J10" s="23">
        <v>20</v>
      </c>
      <c r="K10" s="23">
        <v>0</v>
      </c>
      <c r="L10" t="s">
        <v>67</v>
      </c>
      <c r="M10" s="20">
        <v>360</v>
      </c>
      <c r="N10" s="27" cm="1">
        <f t="array" ref="N10">SUMPRODUCT(B10:K10, TRANSPOSE($B$14:$B$23))</f>
        <v>325</v>
      </c>
    </row>
    <row r="11" spans="1:14" x14ac:dyDescent="0.3">
      <c r="A11" s="18" t="s">
        <v>41</v>
      </c>
      <c r="B11" s="19">
        <v>55</v>
      </c>
      <c r="C11" s="19">
        <v>14</v>
      </c>
      <c r="D11" s="19">
        <v>80</v>
      </c>
      <c r="E11" s="19">
        <v>200</v>
      </c>
      <c r="F11" s="19">
        <v>6</v>
      </c>
      <c r="G11" s="19">
        <v>10</v>
      </c>
      <c r="H11" s="19">
        <v>50</v>
      </c>
      <c r="I11" s="19">
        <v>140</v>
      </c>
      <c r="J11" s="19">
        <v>30</v>
      </c>
      <c r="K11" s="19">
        <v>40</v>
      </c>
      <c r="L11" t="s">
        <v>67</v>
      </c>
      <c r="M11" s="20">
        <v>440</v>
      </c>
      <c r="N11" s="27" cm="1">
        <f t="array" ref="N11">SUMPRODUCT(B11:K11, TRANSPOSE($B$14:$B$23))</f>
        <v>395</v>
      </c>
    </row>
    <row r="12" spans="1:14" x14ac:dyDescent="0.3">
      <c r="A12" s="22" t="s">
        <v>42</v>
      </c>
      <c r="B12" s="23">
        <v>65</v>
      </c>
      <c r="C12" s="23">
        <v>14</v>
      </c>
      <c r="D12" s="23">
        <v>80</v>
      </c>
      <c r="E12" s="23">
        <v>220</v>
      </c>
      <c r="F12" s="23">
        <v>6</v>
      </c>
      <c r="G12" s="23">
        <v>10</v>
      </c>
      <c r="H12" s="23">
        <v>50</v>
      </c>
      <c r="I12" s="23">
        <v>180</v>
      </c>
      <c r="J12" s="23">
        <v>30</v>
      </c>
      <c r="K12" s="23">
        <v>50</v>
      </c>
      <c r="L12" t="s">
        <v>67</v>
      </c>
      <c r="M12" s="20">
        <v>480</v>
      </c>
      <c r="N12" s="27" cm="1">
        <f t="array" ref="N12">SUMPRODUCT(B12:K12, TRANSPOSE($B$14:$B$23))</f>
        <v>465</v>
      </c>
    </row>
    <row r="14" spans="1:14" x14ac:dyDescent="0.3">
      <c r="A14" s="25" t="s">
        <v>3</v>
      </c>
      <c r="B14" s="25">
        <v>1</v>
      </c>
    </row>
    <row r="15" spans="1:14" x14ac:dyDescent="0.3">
      <c r="A15" s="25" t="s">
        <v>4</v>
      </c>
      <c r="B15" s="25">
        <v>0</v>
      </c>
    </row>
    <row r="16" spans="1:14" x14ac:dyDescent="0.3">
      <c r="A16" s="25" t="s">
        <v>5</v>
      </c>
      <c r="B16" s="25">
        <v>0</v>
      </c>
    </row>
    <row r="17" spans="1:2" x14ac:dyDescent="0.3">
      <c r="A17" s="25" t="s">
        <v>6</v>
      </c>
      <c r="B17" s="25">
        <v>1</v>
      </c>
    </row>
    <row r="18" spans="1:2" x14ac:dyDescent="0.3">
      <c r="A18" s="25" t="s">
        <v>7</v>
      </c>
      <c r="B18" s="25">
        <v>0</v>
      </c>
    </row>
    <row r="19" spans="1:2" x14ac:dyDescent="0.3">
      <c r="A19" s="25" t="s">
        <v>8</v>
      </c>
      <c r="B19" s="25">
        <v>0</v>
      </c>
    </row>
    <row r="20" spans="1:2" x14ac:dyDescent="0.3">
      <c r="A20" s="25" t="s">
        <v>9</v>
      </c>
      <c r="B20" s="25">
        <v>0</v>
      </c>
    </row>
    <row r="21" spans="1:2" x14ac:dyDescent="0.3">
      <c r="A21" s="25" t="s">
        <v>10</v>
      </c>
      <c r="B21" s="25">
        <v>1</v>
      </c>
    </row>
    <row r="22" spans="1:2" x14ac:dyDescent="0.3">
      <c r="A22" s="25" t="s">
        <v>11</v>
      </c>
      <c r="B22" s="25">
        <v>0</v>
      </c>
    </row>
    <row r="23" spans="1:2" x14ac:dyDescent="0.3">
      <c r="A23" s="25" t="s">
        <v>12</v>
      </c>
      <c r="B23" s="25">
        <v>0</v>
      </c>
    </row>
    <row r="25" spans="1:2" x14ac:dyDescent="0.3">
      <c r="A25" s="34" t="s">
        <v>91</v>
      </c>
      <c r="B25" s="35" cm="1">
        <f t="array" ref="B25">SUMPRODUCT(B2:K2, TRANSPOSE(B14:B23))</f>
        <v>8650.1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8A38-10BD-4083-A588-0E84E15BCF5A}">
  <dimension ref="A1:U30"/>
  <sheetViews>
    <sheetView workbookViewId="0">
      <selection activeCell="C30" sqref="C30"/>
    </sheetView>
  </sheetViews>
  <sheetFormatPr defaultRowHeight="14.4" x14ac:dyDescent="0.3"/>
  <sheetData>
    <row r="1" spans="1:21" x14ac:dyDescent="0.3">
      <c r="A1" s="28" t="s">
        <v>69</v>
      </c>
      <c r="B1" s="36" t="s">
        <v>70</v>
      </c>
      <c r="C1" s="36" t="s">
        <v>71</v>
      </c>
      <c r="D1" s="36" t="s">
        <v>72</v>
      </c>
      <c r="E1" s="36" t="s">
        <v>73</v>
      </c>
      <c r="F1" s="36" t="s">
        <v>74</v>
      </c>
      <c r="G1" s="36" t="s">
        <v>75</v>
      </c>
      <c r="H1" s="36" t="s">
        <v>76</v>
      </c>
      <c r="I1" s="36" t="s">
        <v>77</v>
      </c>
      <c r="J1" s="36" t="s">
        <v>78</v>
      </c>
      <c r="K1" s="36" t="s">
        <v>79</v>
      </c>
      <c r="L1" s="36" t="s">
        <v>92</v>
      </c>
      <c r="M1" s="36" t="s">
        <v>93</v>
      </c>
      <c r="N1" s="36" t="s">
        <v>94</v>
      </c>
      <c r="O1" s="36" t="s">
        <v>95</v>
      </c>
      <c r="P1" s="36" t="s">
        <v>96</v>
      </c>
    </row>
    <row r="2" spans="1:21" x14ac:dyDescent="0.3">
      <c r="A2" s="28" t="s">
        <v>80</v>
      </c>
      <c r="B2" s="37">
        <v>100</v>
      </c>
      <c r="C2" s="37">
        <v>220</v>
      </c>
      <c r="D2" s="37">
        <v>90</v>
      </c>
      <c r="E2" s="37">
        <v>400</v>
      </c>
      <c r="F2" s="37">
        <v>300</v>
      </c>
      <c r="G2" s="37">
        <v>400</v>
      </c>
      <c r="H2" s="37">
        <v>205</v>
      </c>
      <c r="I2" s="37">
        <v>120</v>
      </c>
      <c r="J2" s="37">
        <v>160</v>
      </c>
      <c r="K2" s="37">
        <v>580</v>
      </c>
      <c r="L2" s="37">
        <v>400</v>
      </c>
      <c r="M2" s="37">
        <v>140</v>
      </c>
      <c r="N2" s="37">
        <v>100</v>
      </c>
      <c r="O2" s="37">
        <v>1300</v>
      </c>
      <c r="P2" s="37">
        <v>650</v>
      </c>
    </row>
    <row r="3" spans="1:21" x14ac:dyDescent="0.3">
      <c r="A3" s="28" t="s">
        <v>81</v>
      </c>
      <c r="B3" s="38">
        <v>8</v>
      </c>
      <c r="C3" s="38">
        <v>24</v>
      </c>
      <c r="D3" s="38">
        <v>13</v>
      </c>
      <c r="E3" s="38">
        <v>80</v>
      </c>
      <c r="F3" s="38">
        <v>70</v>
      </c>
      <c r="G3" s="38">
        <v>80</v>
      </c>
      <c r="H3" s="38">
        <v>45</v>
      </c>
      <c r="I3" s="38">
        <v>15</v>
      </c>
      <c r="J3" s="38">
        <v>28</v>
      </c>
      <c r="K3" s="38">
        <v>90</v>
      </c>
      <c r="L3" s="38">
        <v>130</v>
      </c>
      <c r="M3" s="38">
        <v>32</v>
      </c>
      <c r="N3" s="38">
        <v>20</v>
      </c>
      <c r="O3" s="38">
        <v>120</v>
      </c>
      <c r="P3" s="38">
        <v>40</v>
      </c>
      <c r="Q3" t="s">
        <v>67</v>
      </c>
      <c r="R3" s="39">
        <v>550</v>
      </c>
      <c r="S3" s="27" cm="1">
        <f t="array" ref="S3">SUMPRODUCT(B3:P3, TRANSPOSE($B$14:$B$28))</f>
        <v>542.97938144329896</v>
      </c>
      <c r="T3" cm="1">
        <f t="array" ref="T3">SUMPRODUCT(B3:P3,TRANSPOSE($C$14:$C$28))</f>
        <v>528</v>
      </c>
      <c r="U3" t="str">
        <f>IF(R3&gt;=T3,"f","nf")</f>
        <v>f</v>
      </c>
    </row>
    <row r="4" spans="1:21" x14ac:dyDescent="0.3">
      <c r="A4" s="28" t="s">
        <v>82</v>
      </c>
      <c r="B4" s="40">
        <v>8</v>
      </c>
      <c r="C4" s="40">
        <v>44</v>
      </c>
      <c r="D4" s="40">
        <v>13</v>
      </c>
      <c r="E4" s="40">
        <v>100</v>
      </c>
      <c r="F4" s="40">
        <v>100</v>
      </c>
      <c r="G4" s="40">
        <v>90</v>
      </c>
      <c r="H4" s="40">
        <v>75</v>
      </c>
      <c r="I4" s="40">
        <v>25</v>
      </c>
      <c r="J4" s="40">
        <v>28</v>
      </c>
      <c r="K4" s="40">
        <v>120</v>
      </c>
      <c r="L4" s="40">
        <v>130</v>
      </c>
      <c r="M4" s="40">
        <v>32</v>
      </c>
      <c r="N4" s="40">
        <v>40</v>
      </c>
      <c r="O4" s="40">
        <v>160</v>
      </c>
      <c r="P4" s="40">
        <v>40</v>
      </c>
      <c r="Q4" t="s">
        <v>67</v>
      </c>
      <c r="R4" s="41">
        <v>700</v>
      </c>
      <c r="S4" s="27" cm="1">
        <f t="array" ref="S4">SUMPRODUCT(B4:P4, TRANSPOSE($B$14:$B$28))</f>
        <v>700.00000000000011</v>
      </c>
      <c r="T4" cm="1">
        <f t="array" ref="T4">SUMPRODUCT(B4:P4,TRANSPOSE($C$14:$C$28))</f>
        <v>678</v>
      </c>
      <c r="U4" t="str">
        <f t="shared" ref="U4:U12" si="0">IF(R4&gt;=T4,"f","nf")</f>
        <v>f</v>
      </c>
    </row>
    <row r="5" spans="1:21" x14ac:dyDescent="0.3">
      <c r="A5" s="28" t="s">
        <v>83</v>
      </c>
      <c r="B5" s="38">
        <v>3</v>
      </c>
      <c r="C5" s="38">
        <v>6</v>
      </c>
      <c r="D5" s="38">
        <v>4</v>
      </c>
      <c r="E5" s="38">
        <v>20</v>
      </c>
      <c r="F5" s="38">
        <v>20</v>
      </c>
      <c r="G5" s="38">
        <v>30</v>
      </c>
      <c r="H5" s="38">
        <v>8</v>
      </c>
      <c r="I5" s="38">
        <v>3</v>
      </c>
      <c r="J5" s="38">
        <v>12</v>
      </c>
      <c r="K5" s="38">
        <v>14</v>
      </c>
      <c r="L5" s="38">
        <v>40</v>
      </c>
      <c r="M5" s="38">
        <v>6</v>
      </c>
      <c r="N5" s="38">
        <v>3</v>
      </c>
      <c r="O5" s="38">
        <v>20</v>
      </c>
      <c r="P5" s="38">
        <v>5</v>
      </c>
      <c r="Q5" t="s">
        <v>67</v>
      </c>
      <c r="R5" s="41">
        <v>130</v>
      </c>
      <c r="S5" s="27" cm="1">
        <f t="array" ref="S5">SUMPRODUCT(B5:P5, TRANSPOSE($B$14:$B$28))</f>
        <v>127.03092783505156</v>
      </c>
      <c r="T5" cm="1">
        <f t="array" ref="T5">SUMPRODUCT(B5:P5,TRANSPOSE($C$14:$C$28))</f>
        <v>122</v>
      </c>
      <c r="U5" t="str">
        <f t="shared" si="0"/>
        <v>f</v>
      </c>
    </row>
    <row r="6" spans="1:21" x14ac:dyDescent="0.3">
      <c r="A6" s="28" t="s">
        <v>84</v>
      </c>
      <c r="B6" s="40">
        <v>5</v>
      </c>
      <c r="C6" s="40">
        <v>9</v>
      </c>
      <c r="D6" s="40">
        <v>6</v>
      </c>
      <c r="E6" s="40">
        <v>40</v>
      </c>
      <c r="F6" s="40">
        <v>30</v>
      </c>
      <c r="G6" s="40">
        <v>40</v>
      </c>
      <c r="H6" s="40">
        <v>16</v>
      </c>
      <c r="I6" s="40">
        <v>5</v>
      </c>
      <c r="J6" s="40">
        <v>18</v>
      </c>
      <c r="K6" s="40">
        <v>24</v>
      </c>
      <c r="L6" s="40">
        <v>60</v>
      </c>
      <c r="M6" s="40">
        <v>16</v>
      </c>
      <c r="N6" s="40">
        <v>11</v>
      </c>
      <c r="O6" s="40">
        <v>30</v>
      </c>
      <c r="P6" s="40">
        <v>25</v>
      </c>
      <c r="Q6" t="s">
        <v>67</v>
      </c>
      <c r="R6" s="41">
        <v>240</v>
      </c>
      <c r="S6" s="27" cm="1">
        <f t="array" ref="S6">SUMPRODUCT(B6:P6, TRANSPOSE($B$14:$B$28))</f>
        <v>220.54639175257734</v>
      </c>
      <c r="T6" cm="1">
        <f t="array" ref="T6">SUMPRODUCT(B6:P6,TRANSPOSE($C$14:$C$28))</f>
        <v>213</v>
      </c>
      <c r="U6" t="str">
        <f t="shared" si="0"/>
        <v>f</v>
      </c>
    </row>
    <row r="7" spans="1:21" x14ac:dyDescent="0.3">
      <c r="A7" s="28" t="s">
        <v>85</v>
      </c>
      <c r="B7" s="38">
        <v>5</v>
      </c>
      <c r="C7" s="38">
        <v>11</v>
      </c>
      <c r="D7" s="38">
        <v>7</v>
      </c>
      <c r="E7" s="38">
        <v>50</v>
      </c>
      <c r="F7" s="38">
        <v>40</v>
      </c>
      <c r="G7" s="38">
        <v>40</v>
      </c>
      <c r="H7" s="38">
        <v>19</v>
      </c>
      <c r="I7" s="38">
        <v>7</v>
      </c>
      <c r="J7" s="38">
        <v>18</v>
      </c>
      <c r="K7" s="38">
        <v>29</v>
      </c>
      <c r="L7" s="38">
        <v>70</v>
      </c>
      <c r="M7" s="38">
        <v>21</v>
      </c>
      <c r="N7" s="38">
        <v>17</v>
      </c>
      <c r="O7" s="38">
        <v>30</v>
      </c>
      <c r="P7" s="38">
        <v>25</v>
      </c>
      <c r="Q7" t="s">
        <v>67</v>
      </c>
      <c r="R7" s="41">
        <v>280</v>
      </c>
      <c r="S7" s="27" cm="1">
        <f t="array" ref="S7">SUMPRODUCT(B7:P7, TRANSPOSE($B$14:$B$28))</f>
        <v>244.58762886597941</v>
      </c>
      <c r="T7" cm="1">
        <f t="array" ref="T7">SUMPRODUCT(B7:P7,TRANSPOSE($C$14:$C$28))</f>
        <v>234</v>
      </c>
      <c r="U7" t="str">
        <f t="shared" si="0"/>
        <v>f</v>
      </c>
    </row>
    <row r="8" spans="1:21" x14ac:dyDescent="0.3">
      <c r="A8" s="28" t="s">
        <v>86</v>
      </c>
      <c r="B8" s="40">
        <v>5</v>
      </c>
      <c r="C8" s="40">
        <v>11</v>
      </c>
      <c r="D8" s="40">
        <v>7</v>
      </c>
      <c r="E8" s="40">
        <v>55</v>
      </c>
      <c r="F8" s="40">
        <v>40</v>
      </c>
      <c r="G8" s="40">
        <v>40</v>
      </c>
      <c r="H8" s="40">
        <v>21</v>
      </c>
      <c r="I8" s="40">
        <v>9</v>
      </c>
      <c r="J8" s="40">
        <v>18</v>
      </c>
      <c r="K8" s="40">
        <v>29</v>
      </c>
      <c r="L8" s="40">
        <v>70</v>
      </c>
      <c r="M8" s="40">
        <v>21</v>
      </c>
      <c r="N8" s="40">
        <v>17</v>
      </c>
      <c r="O8" s="40">
        <v>35</v>
      </c>
      <c r="P8" s="40">
        <v>25</v>
      </c>
      <c r="Q8" t="s">
        <v>67</v>
      </c>
      <c r="R8" s="41">
        <v>310</v>
      </c>
      <c r="S8" s="27" cm="1">
        <f t="array" ref="S8">SUMPRODUCT(B8:P8, TRANSPOSE($B$14:$B$28))</f>
        <v>256.32474226804129</v>
      </c>
      <c r="T8" cm="1">
        <f t="array" ref="T8">SUMPRODUCT(B8:P8,TRANSPOSE($C$14:$C$28))</f>
        <v>246</v>
      </c>
      <c r="U8" t="str">
        <f t="shared" si="0"/>
        <v>f</v>
      </c>
    </row>
    <row r="9" spans="1:21" x14ac:dyDescent="0.3">
      <c r="A9" s="28" t="s">
        <v>87</v>
      </c>
      <c r="B9" s="38">
        <v>0</v>
      </c>
      <c r="C9" s="38">
        <v>0</v>
      </c>
      <c r="D9" s="38">
        <v>1</v>
      </c>
      <c r="E9" s="38">
        <v>10</v>
      </c>
      <c r="F9" s="38">
        <v>4</v>
      </c>
      <c r="G9" s="38">
        <v>10</v>
      </c>
      <c r="H9" s="38">
        <v>0</v>
      </c>
      <c r="I9" s="38">
        <v>6</v>
      </c>
      <c r="J9" s="38">
        <v>0</v>
      </c>
      <c r="K9" s="38">
        <v>6</v>
      </c>
      <c r="L9" s="38">
        <v>32</v>
      </c>
      <c r="M9" s="38">
        <v>3</v>
      </c>
      <c r="N9" s="38">
        <v>0</v>
      </c>
      <c r="O9" s="38">
        <v>70</v>
      </c>
      <c r="P9" s="38">
        <v>10</v>
      </c>
      <c r="Q9" t="s">
        <v>67</v>
      </c>
      <c r="R9" s="41">
        <v>110</v>
      </c>
      <c r="S9" s="27" cm="1">
        <f t="array" ref="S9">SUMPRODUCT(B9:P9, TRANSPOSE($B$14:$B$28))</f>
        <v>104.53608247422682</v>
      </c>
      <c r="T9" cm="1">
        <f t="array" ref="T9">SUMPRODUCT(B9:P9,TRANSPOSE($C$14:$C$28))</f>
        <v>107</v>
      </c>
      <c r="U9" t="str">
        <f t="shared" si="0"/>
        <v>f</v>
      </c>
    </row>
    <row r="10" spans="1:21" x14ac:dyDescent="0.3">
      <c r="A10" s="28" t="s">
        <v>88</v>
      </c>
      <c r="B10" s="40">
        <v>3</v>
      </c>
      <c r="C10" s="40">
        <v>4</v>
      </c>
      <c r="D10" s="40">
        <v>5</v>
      </c>
      <c r="E10" s="40">
        <v>20</v>
      </c>
      <c r="F10" s="40">
        <v>14</v>
      </c>
      <c r="G10" s="40">
        <v>20</v>
      </c>
      <c r="H10" s="40">
        <v>6</v>
      </c>
      <c r="I10" s="40">
        <v>12</v>
      </c>
      <c r="J10" s="40">
        <v>10</v>
      </c>
      <c r="K10" s="40">
        <v>18</v>
      </c>
      <c r="L10" s="40">
        <v>42</v>
      </c>
      <c r="M10" s="40">
        <v>9</v>
      </c>
      <c r="N10" s="40">
        <v>12</v>
      </c>
      <c r="O10" s="40">
        <v>100</v>
      </c>
      <c r="P10" s="40">
        <v>20</v>
      </c>
      <c r="Q10" t="s">
        <v>67</v>
      </c>
      <c r="R10" s="41">
        <v>205</v>
      </c>
      <c r="S10" s="27" cm="1">
        <f t="array" ref="S10">SUMPRODUCT(B10:P10, TRANSPOSE($B$14:$B$28))</f>
        <v>205</v>
      </c>
      <c r="T10" cm="1">
        <f t="array" ref="T10">SUMPRODUCT(B10:P10,TRANSPOSE($C$14:$C$28))</f>
        <v>206</v>
      </c>
      <c r="U10" t="str">
        <f t="shared" si="0"/>
        <v>nf</v>
      </c>
    </row>
    <row r="11" spans="1:21" x14ac:dyDescent="0.3">
      <c r="A11" s="28" t="s">
        <v>89</v>
      </c>
      <c r="B11" s="38">
        <v>3</v>
      </c>
      <c r="C11" s="38">
        <v>6</v>
      </c>
      <c r="D11" s="38">
        <v>9</v>
      </c>
      <c r="E11" s="38">
        <v>30</v>
      </c>
      <c r="F11" s="38">
        <v>29</v>
      </c>
      <c r="G11" s="38">
        <v>20</v>
      </c>
      <c r="H11" s="38">
        <v>12</v>
      </c>
      <c r="I11" s="38">
        <v>12</v>
      </c>
      <c r="J11" s="38">
        <v>10</v>
      </c>
      <c r="K11" s="38">
        <v>30</v>
      </c>
      <c r="L11" s="38">
        <v>42</v>
      </c>
      <c r="M11" s="38">
        <v>18</v>
      </c>
      <c r="N11" s="38">
        <v>18</v>
      </c>
      <c r="O11" s="38">
        <v>110</v>
      </c>
      <c r="P11" s="38">
        <v>20</v>
      </c>
      <c r="Q11" t="s">
        <v>67</v>
      </c>
      <c r="R11" s="41">
        <v>260</v>
      </c>
      <c r="S11" s="27" cm="1">
        <f t="array" ref="S11">SUMPRODUCT(B11:P11, TRANSPOSE($B$14:$B$28))</f>
        <v>253.03608247422682</v>
      </c>
      <c r="T11" cm="1">
        <f t="array" ref="T11">SUMPRODUCT(B11:P11,TRANSPOSE($C$14:$C$28))</f>
        <v>250</v>
      </c>
      <c r="U11" t="str">
        <f t="shared" si="0"/>
        <v>f</v>
      </c>
    </row>
    <row r="12" spans="1:21" x14ac:dyDescent="0.3">
      <c r="A12" s="28" t="s">
        <v>90</v>
      </c>
      <c r="B12" s="40">
        <v>3</v>
      </c>
      <c r="C12" s="40">
        <v>8</v>
      </c>
      <c r="D12" s="40">
        <v>9</v>
      </c>
      <c r="E12" s="40">
        <v>35</v>
      </c>
      <c r="F12" s="40">
        <v>29</v>
      </c>
      <c r="G12" s="40">
        <v>20</v>
      </c>
      <c r="H12" s="40">
        <v>16</v>
      </c>
      <c r="I12" s="40">
        <v>15</v>
      </c>
      <c r="J12" s="40">
        <v>10</v>
      </c>
      <c r="K12" s="40">
        <v>30</v>
      </c>
      <c r="L12" s="40">
        <v>42</v>
      </c>
      <c r="M12" s="40">
        <v>20</v>
      </c>
      <c r="N12" s="40">
        <v>18</v>
      </c>
      <c r="O12" s="40">
        <v>120</v>
      </c>
      <c r="P12" s="40">
        <v>20</v>
      </c>
      <c r="Q12" t="s">
        <v>67</v>
      </c>
      <c r="R12" s="42">
        <v>275</v>
      </c>
      <c r="S12" s="27" cm="1">
        <f t="array" ref="S12">SUMPRODUCT(B12:P12, TRANSPOSE($B$14:$B$28))</f>
        <v>273.51030927835052</v>
      </c>
      <c r="T12" cm="1">
        <f t="array" ref="T12">SUMPRODUCT(B12:P12,TRANSPOSE($C$14:$C$28))</f>
        <v>271</v>
      </c>
      <c r="U12" t="str">
        <f t="shared" si="0"/>
        <v>f</v>
      </c>
    </row>
    <row r="13" spans="1:2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R13" s="32"/>
    </row>
    <row r="14" spans="1:21" x14ac:dyDescent="0.3">
      <c r="A14" s="25" t="s">
        <v>3</v>
      </c>
      <c r="B14" s="25">
        <v>1</v>
      </c>
      <c r="C14">
        <f>ROUND(B14,0)</f>
        <v>1</v>
      </c>
    </row>
    <row r="15" spans="1:21" x14ac:dyDescent="0.3">
      <c r="A15" s="25" t="s">
        <v>4</v>
      </c>
      <c r="B15" s="25">
        <v>1</v>
      </c>
      <c r="C15">
        <f t="shared" ref="C15:C28" si="1">ROUND(B15,0)</f>
        <v>1</v>
      </c>
    </row>
    <row r="16" spans="1:21" x14ac:dyDescent="0.3">
      <c r="A16" s="25" t="s">
        <v>5</v>
      </c>
      <c r="B16" s="25">
        <v>1</v>
      </c>
      <c r="C16">
        <f t="shared" si="1"/>
        <v>1</v>
      </c>
    </row>
    <row r="17" spans="1:3" x14ac:dyDescent="0.3">
      <c r="A17" s="25" t="s">
        <v>6</v>
      </c>
      <c r="B17" s="25">
        <v>1</v>
      </c>
      <c r="C17">
        <f t="shared" si="1"/>
        <v>1</v>
      </c>
    </row>
    <row r="18" spans="1:3" x14ac:dyDescent="0.3">
      <c r="A18" s="25" t="s">
        <v>7</v>
      </c>
      <c r="B18" s="25">
        <v>0.30412371134020688</v>
      </c>
      <c r="C18">
        <f t="shared" si="1"/>
        <v>0</v>
      </c>
    </row>
    <row r="19" spans="1:3" x14ac:dyDescent="0.3">
      <c r="A19" s="25" t="s">
        <v>8</v>
      </c>
      <c r="B19" s="25">
        <v>1</v>
      </c>
      <c r="C19">
        <f t="shared" si="1"/>
        <v>1</v>
      </c>
    </row>
    <row r="20" spans="1:3" x14ac:dyDescent="0.3">
      <c r="A20" s="25" t="s">
        <v>9</v>
      </c>
      <c r="B20" s="25">
        <v>1</v>
      </c>
      <c r="C20">
        <f t="shared" si="1"/>
        <v>1</v>
      </c>
    </row>
    <row r="21" spans="1:3" x14ac:dyDescent="0.3">
      <c r="A21" s="25" t="s">
        <v>10</v>
      </c>
      <c r="B21" s="25">
        <v>0</v>
      </c>
      <c r="C21">
        <f t="shared" si="1"/>
        <v>0</v>
      </c>
    </row>
    <row r="22" spans="1:3" x14ac:dyDescent="0.3">
      <c r="A22" s="25" t="s">
        <v>11</v>
      </c>
      <c r="B22" s="25">
        <v>1</v>
      </c>
      <c r="C22">
        <f t="shared" si="1"/>
        <v>1</v>
      </c>
    </row>
    <row r="23" spans="1:3" x14ac:dyDescent="0.3">
      <c r="A23" s="25" t="s">
        <v>12</v>
      </c>
      <c r="B23" s="25">
        <v>1</v>
      </c>
      <c r="C23">
        <f t="shared" si="1"/>
        <v>1</v>
      </c>
    </row>
    <row r="24" spans="1:3" x14ac:dyDescent="0.3">
      <c r="A24" s="25" t="s">
        <v>13</v>
      </c>
      <c r="B24" s="25">
        <v>0</v>
      </c>
      <c r="C24">
        <f t="shared" si="1"/>
        <v>0</v>
      </c>
    </row>
    <row r="25" spans="1:3" x14ac:dyDescent="0.3">
      <c r="A25" s="25" t="s">
        <v>14</v>
      </c>
      <c r="B25" s="25">
        <v>0</v>
      </c>
      <c r="C25">
        <f t="shared" si="1"/>
        <v>0</v>
      </c>
    </row>
    <row r="26" spans="1:3" x14ac:dyDescent="0.3">
      <c r="A26" s="25" t="s">
        <v>15</v>
      </c>
      <c r="B26" s="25">
        <v>0</v>
      </c>
      <c r="C26">
        <f t="shared" si="1"/>
        <v>0</v>
      </c>
    </row>
    <row r="27" spans="1:3" x14ac:dyDescent="0.3">
      <c r="A27" s="25" t="s">
        <v>16</v>
      </c>
      <c r="B27" s="25">
        <v>0.94742268041237121</v>
      </c>
      <c r="C27">
        <f t="shared" si="1"/>
        <v>1</v>
      </c>
    </row>
    <row r="28" spans="1:3" x14ac:dyDescent="0.3">
      <c r="A28" s="25" t="s">
        <v>17</v>
      </c>
      <c r="B28" s="25">
        <v>1</v>
      </c>
      <c r="C28">
        <f t="shared" si="1"/>
        <v>1</v>
      </c>
    </row>
    <row r="30" spans="1:3" x14ac:dyDescent="0.3">
      <c r="A30" s="34" t="s">
        <v>91</v>
      </c>
      <c r="B30" s="35" cm="1">
        <f t="array" ref="B30">SUMPRODUCT($B$2:$P$2, TRANSPOSE(B14:B28))</f>
        <v>4127.8865979381444</v>
      </c>
      <c r="C30" s="35" cm="1">
        <f t="array" ref="C30">SUMPRODUCT($B$2:$P$2, TRANSPOSE(C14:C28))</f>
        <v>4105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E8BC-7F92-4C38-9997-EEF86A7713D8}">
  <dimension ref="A1:S30"/>
  <sheetViews>
    <sheetView topLeftCell="A10" workbookViewId="0">
      <selection activeCell="B30" sqref="B30"/>
    </sheetView>
  </sheetViews>
  <sheetFormatPr defaultRowHeight="14.4" x14ac:dyDescent="0.3"/>
  <sheetData>
    <row r="1" spans="1:19" x14ac:dyDescent="0.3">
      <c r="A1" s="28" t="s">
        <v>69</v>
      </c>
      <c r="B1" s="36" t="s">
        <v>70</v>
      </c>
      <c r="C1" s="36" t="s">
        <v>71</v>
      </c>
      <c r="D1" s="36" t="s">
        <v>72</v>
      </c>
      <c r="E1" s="36" t="s">
        <v>73</v>
      </c>
      <c r="F1" s="36" t="s">
        <v>74</v>
      </c>
      <c r="G1" s="36" t="s">
        <v>75</v>
      </c>
      <c r="H1" s="36" t="s">
        <v>76</v>
      </c>
      <c r="I1" s="36" t="s">
        <v>77</v>
      </c>
      <c r="J1" s="36" t="s">
        <v>78</v>
      </c>
      <c r="K1" s="36" t="s">
        <v>79</v>
      </c>
      <c r="L1" s="36" t="s">
        <v>92</v>
      </c>
      <c r="M1" s="36" t="s">
        <v>93</v>
      </c>
      <c r="N1" s="36" t="s">
        <v>94</v>
      </c>
      <c r="O1" s="36" t="s">
        <v>95</v>
      </c>
      <c r="P1" s="36" t="s">
        <v>96</v>
      </c>
    </row>
    <row r="2" spans="1:19" x14ac:dyDescent="0.3">
      <c r="A2" s="28" t="s">
        <v>80</v>
      </c>
      <c r="B2" s="37">
        <v>100</v>
      </c>
      <c r="C2" s="37">
        <v>220</v>
      </c>
      <c r="D2" s="37">
        <v>90</v>
      </c>
      <c r="E2" s="37">
        <v>400</v>
      </c>
      <c r="F2" s="37">
        <v>300</v>
      </c>
      <c r="G2" s="37">
        <v>400</v>
      </c>
      <c r="H2" s="37">
        <v>205</v>
      </c>
      <c r="I2" s="37">
        <v>120</v>
      </c>
      <c r="J2" s="37">
        <v>160</v>
      </c>
      <c r="K2" s="37">
        <v>580</v>
      </c>
      <c r="L2" s="37">
        <v>400</v>
      </c>
      <c r="M2" s="37">
        <v>140</v>
      </c>
      <c r="N2" s="37">
        <v>100</v>
      </c>
      <c r="O2" s="37">
        <v>1300</v>
      </c>
      <c r="P2" s="37">
        <v>650</v>
      </c>
    </row>
    <row r="3" spans="1:19" x14ac:dyDescent="0.3">
      <c r="A3" s="28" t="s">
        <v>81</v>
      </c>
      <c r="B3" s="38">
        <v>8</v>
      </c>
      <c r="C3" s="38">
        <v>24</v>
      </c>
      <c r="D3" s="38">
        <v>13</v>
      </c>
      <c r="E3" s="38">
        <v>80</v>
      </c>
      <c r="F3" s="38">
        <v>70</v>
      </c>
      <c r="G3" s="38">
        <v>80</v>
      </c>
      <c r="H3" s="38">
        <v>45</v>
      </c>
      <c r="I3" s="38">
        <v>15</v>
      </c>
      <c r="J3" s="38">
        <v>28</v>
      </c>
      <c r="K3" s="38">
        <v>90</v>
      </c>
      <c r="L3" s="38">
        <v>130</v>
      </c>
      <c r="M3" s="38">
        <v>32</v>
      </c>
      <c r="N3" s="38">
        <v>20</v>
      </c>
      <c r="O3" s="38">
        <v>120</v>
      </c>
      <c r="P3" s="38">
        <v>40</v>
      </c>
      <c r="Q3" t="s">
        <v>67</v>
      </c>
      <c r="R3" s="39">
        <v>550</v>
      </c>
      <c r="S3" s="27" cm="1">
        <f t="array" ref="S3">SUMPRODUCT(B3:P3, TRANSPOSE($B$14:$B$28))</f>
        <v>515</v>
      </c>
    </row>
    <row r="4" spans="1:19" x14ac:dyDescent="0.3">
      <c r="A4" s="28" t="s">
        <v>82</v>
      </c>
      <c r="B4" s="40">
        <v>8</v>
      </c>
      <c r="C4" s="40">
        <v>44</v>
      </c>
      <c r="D4" s="40">
        <v>13</v>
      </c>
      <c r="E4" s="40">
        <v>100</v>
      </c>
      <c r="F4" s="40">
        <v>100</v>
      </c>
      <c r="G4" s="40">
        <v>90</v>
      </c>
      <c r="H4" s="40">
        <v>75</v>
      </c>
      <c r="I4" s="40">
        <v>25</v>
      </c>
      <c r="J4" s="40">
        <v>28</v>
      </c>
      <c r="K4" s="40">
        <v>120</v>
      </c>
      <c r="L4" s="40">
        <v>130</v>
      </c>
      <c r="M4" s="40">
        <v>32</v>
      </c>
      <c r="N4" s="40">
        <v>40</v>
      </c>
      <c r="O4" s="40">
        <v>160</v>
      </c>
      <c r="P4" s="40">
        <v>40</v>
      </c>
      <c r="Q4" t="s">
        <v>67</v>
      </c>
      <c r="R4" s="41">
        <v>700</v>
      </c>
      <c r="S4" s="27" cm="1">
        <f t="array" ref="S4">SUMPRODUCT(B4:P4, TRANSPOSE($B$14:$B$28))</f>
        <v>665</v>
      </c>
    </row>
    <row r="5" spans="1:19" x14ac:dyDescent="0.3">
      <c r="A5" s="28" t="s">
        <v>83</v>
      </c>
      <c r="B5" s="38">
        <v>3</v>
      </c>
      <c r="C5" s="38">
        <v>6</v>
      </c>
      <c r="D5" s="38">
        <v>4</v>
      </c>
      <c r="E5" s="38">
        <v>20</v>
      </c>
      <c r="F5" s="38">
        <v>20</v>
      </c>
      <c r="G5" s="38">
        <v>30</v>
      </c>
      <c r="H5" s="38">
        <v>8</v>
      </c>
      <c r="I5" s="38">
        <v>3</v>
      </c>
      <c r="J5" s="38">
        <v>12</v>
      </c>
      <c r="K5" s="38">
        <v>14</v>
      </c>
      <c r="L5" s="38">
        <v>40</v>
      </c>
      <c r="M5" s="38">
        <v>6</v>
      </c>
      <c r="N5" s="38">
        <v>3</v>
      </c>
      <c r="O5" s="38">
        <v>20</v>
      </c>
      <c r="P5" s="38">
        <v>5</v>
      </c>
      <c r="Q5" t="s">
        <v>67</v>
      </c>
      <c r="R5" s="41">
        <v>130</v>
      </c>
      <c r="S5" s="27" cm="1">
        <f t="array" ref="S5">SUMPRODUCT(B5:P5, TRANSPOSE($B$14:$B$28))</f>
        <v>118</v>
      </c>
    </row>
    <row r="6" spans="1:19" x14ac:dyDescent="0.3">
      <c r="A6" s="28" t="s">
        <v>84</v>
      </c>
      <c r="B6" s="40">
        <v>5</v>
      </c>
      <c r="C6" s="40">
        <v>9</v>
      </c>
      <c r="D6" s="40">
        <v>6</v>
      </c>
      <c r="E6" s="40">
        <v>40</v>
      </c>
      <c r="F6" s="40">
        <v>30</v>
      </c>
      <c r="G6" s="40">
        <v>40</v>
      </c>
      <c r="H6" s="40">
        <v>16</v>
      </c>
      <c r="I6" s="40">
        <v>5</v>
      </c>
      <c r="J6" s="40">
        <v>18</v>
      </c>
      <c r="K6" s="40">
        <v>24</v>
      </c>
      <c r="L6" s="40">
        <v>60</v>
      </c>
      <c r="M6" s="40">
        <v>16</v>
      </c>
      <c r="N6" s="40">
        <v>11</v>
      </c>
      <c r="O6" s="40">
        <v>30</v>
      </c>
      <c r="P6" s="40">
        <v>25</v>
      </c>
      <c r="Q6" t="s">
        <v>67</v>
      </c>
      <c r="R6" s="41">
        <v>240</v>
      </c>
      <c r="S6" s="27" cm="1">
        <f t="array" ref="S6">SUMPRODUCT(B6:P6, TRANSPOSE($B$14:$B$28))</f>
        <v>207</v>
      </c>
    </row>
    <row r="7" spans="1:19" x14ac:dyDescent="0.3">
      <c r="A7" s="28" t="s">
        <v>85</v>
      </c>
      <c r="B7" s="38">
        <v>5</v>
      </c>
      <c r="C7" s="38">
        <v>11</v>
      </c>
      <c r="D7" s="38">
        <v>7</v>
      </c>
      <c r="E7" s="38">
        <v>50</v>
      </c>
      <c r="F7" s="38">
        <v>40</v>
      </c>
      <c r="G7" s="38">
        <v>40</v>
      </c>
      <c r="H7" s="38">
        <v>19</v>
      </c>
      <c r="I7" s="38">
        <v>7</v>
      </c>
      <c r="J7" s="38">
        <v>18</v>
      </c>
      <c r="K7" s="38">
        <v>29</v>
      </c>
      <c r="L7" s="38">
        <v>70</v>
      </c>
      <c r="M7" s="38">
        <v>21</v>
      </c>
      <c r="N7" s="38">
        <v>17</v>
      </c>
      <c r="O7" s="38">
        <v>30</v>
      </c>
      <c r="P7" s="38">
        <v>25</v>
      </c>
      <c r="Q7" t="s">
        <v>67</v>
      </c>
      <c r="R7" s="41">
        <v>280</v>
      </c>
      <c r="S7" s="27" cm="1">
        <f t="array" ref="S7">SUMPRODUCT(B7:P7, TRANSPOSE($B$14:$B$28))</f>
        <v>227</v>
      </c>
    </row>
    <row r="8" spans="1:19" x14ac:dyDescent="0.3">
      <c r="A8" s="28" t="s">
        <v>86</v>
      </c>
      <c r="B8" s="40">
        <v>5</v>
      </c>
      <c r="C8" s="40">
        <v>11</v>
      </c>
      <c r="D8" s="40">
        <v>7</v>
      </c>
      <c r="E8" s="40">
        <v>55</v>
      </c>
      <c r="F8" s="40">
        <v>40</v>
      </c>
      <c r="G8" s="40">
        <v>40</v>
      </c>
      <c r="H8" s="40">
        <v>21</v>
      </c>
      <c r="I8" s="40">
        <v>9</v>
      </c>
      <c r="J8" s="40">
        <v>18</v>
      </c>
      <c r="K8" s="40">
        <v>29</v>
      </c>
      <c r="L8" s="40">
        <v>70</v>
      </c>
      <c r="M8" s="40">
        <v>21</v>
      </c>
      <c r="N8" s="40">
        <v>17</v>
      </c>
      <c r="O8" s="40">
        <v>35</v>
      </c>
      <c r="P8" s="40">
        <v>25</v>
      </c>
      <c r="Q8" t="s">
        <v>67</v>
      </c>
      <c r="R8" s="41">
        <v>310</v>
      </c>
      <c r="S8" s="27" cm="1">
        <f t="array" ref="S8">SUMPRODUCT(B8:P8, TRANSPOSE($B$14:$B$28))</f>
        <v>239</v>
      </c>
    </row>
    <row r="9" spans="1:19" x14ac:dyDescent="0.3">
      <c r="A9" s="28" t="s">
        <v>87</v>
      </c>
      <c r="B9" s="38">
        <v>0</v>
      </c>
      <c r="C9" s="38">
        <v>0</v>
      </c>
      <c r="D9" s="38">
        <v>1</v>
      </c>
      <c r="E9" s="38">
        <v>10</v>
      </c>
      <c r="F9" s="38">
        <v>4</v>
      </c>
      <c r="G9" s="38">
        <v>10</v>
      </c>
      <c r="H9" s="38">
        <v>0</v>
      </c>
      <c r="I9" s="38">
        <v>6</v>
      </c>
      <c r="J9" s="38">
        <v>0</v>
      </c>
      <c r="K9" s="38">
        <v>6</v>
      </c>
      <c r="L9" s="38">
        <v>32</v>
      </c>
      <c r="M9" s="38">
        <v>3</v>
      </c>
      <c r="N9" s="38">
        <v>0</v>
      </c>
      <c r="O9" s="38">
        <v>70</v>
      </c>
      <c r="P9" s="38">
        <v>10</v>
      </c>
      <c r="Q9" t="s">
        <v>67</v>
      </c>
      <c r="R9" s="41">
        <v>110</v>
      </c>
      <c r="S9" s="27" cm="1">
        <f t="array" ref="S9">SUMPRODUCT(B9:P9, TRANSPOSE($B$14:$B$28))</f>
        <v>106</v>
      </c>
    </row>
    <row r="10" spans="1:19" x14ac:dyDescent="0.3">
      <c r="A10" s="28" t="s">
        <v>88</v>
      </c>
      <c r="B10" s="40">
        <v>3</v>
      </c>
      <c r="C10" s="40">
        <v>4</v>
      </c>
      <c r="D10" s="40">
        <v>5</v>
      </c>
      <c r="E10" s="40">
        <v>20</v>
      </c>
      <c r="F10" s="40">
        <v>14</v>
      </c>
      <c r="G10" s="40">
        <v>20</v>
      </c>
      <c r="H10" s="40">
        <v>6</v>
      </c>
      <c r="I10" s="40">
        <v>12</v>
      </c>
      <c r="J10" s="40">
        <v>10</v>
      </c>
      <c r="K10" s="40">
        <v>18</v>
      </c>
      <c r="L10" s="40">
        <v>42</v>
      </c>
      <c r="M10" s="40">
        <v>9</v>
      </c>
      <c r="N10" s="40">
        <v>12</v>
      </c>
      <c r="O10" s="40">
        <v>100</v>
      </c>
      <c r="P10" s="40">
        <v>20</v>
      </c>
      <c r="Q10" t="s">
        <v>67</v>
      </c>
      <c r="R10" s="41">
        <v>205</v>
      </c>
      <c r="S10" s="27" cm="1">
        <f t="array" ref="S10">SUMPRODUCT(B10:P10, TRANSPOSE($B$14:$B$28))</f>
        <v>201</v>
      </c>
    </row>
    <row r="11" spans="1:19" x14ac:dyDescent="0.3">
      <c r="A11" s="28" t="s">
        <v>89</v>
      </c>
      <c r="B11" s="38">
        <v>3</v>
      </c>
      <c r="C11" s="38">
        <v>6</v>
      </c>
      <c r="D11" s="38">
        <v>9</v>
      </c>
      <c r="E11" s="38">
        <v>30</v>
      </c>
      <c r="F11" s="38">
        <v>29</v>
      </c>
      <c r="G11" s="38">
        <v>20</v>
      </c>
      <c r="H11" s="38">
        <v>12</v>
      </c>
      <c r="I11" s="38">
        <v>12</v>
      </c>
      <c r="J11" s="38">
        <v>10</v>
      </c>
      <c r="K11" s="38">
        <v>30</v>
      </c>
      <c r="L11" s="38">
        <v>42</v>
      </c>
      <c r="M11" s="38">
        <v>18</v>
      </c>
      <c r="N11" s="38">
        <v>18</v>
      </c>
      <c r="O11" s="38">
        <v>110</v>
      </c>
      <c r="P11" s="38">
        <v>20</v>
      </c>
      <c r="Q11" t="s">
        <v>67</v>
      </c>
      <c r="R11" s="41">
        <v>260</v>
      </c>
      <c r="S11" s="27" cm="1">
        <f t="array" ref="S11">SUMPRODUCT(B11:P11, TRANSPOSE($B$14:$B$28))</f>
        <v>241</v>
      </c>
    </row>
    <row r="12" spans="1:19" x14ac:dyDescent="0.3">
      <c r="A12" s="28" t="s">
        <v>90</v>
      </c>
      <c r="B12" s="40">
        <v>3</v>
      </c>
      <c r="C12" s="40">
        <v>8</v>
      </c>
      <c r="D12" s="40">
        <v>9</v>
      </c>
      <c r="E12" s="40">
        <v>35</v>
      </c>
      <c r="F12" s="40">
        <v>29</v>
      </c>
      <c r="G12" s="40">
        <v>20</v>
      </c>
      <c r="H12" s="40">
        <v>16</v>
      </c>
      <c r="I12" s="40">
        <v>15</v>
      </c>
      <c r="J12" s="40">
        <v>10</v>
      </c>
      <c r="K12" s="40">
        <v>30</v>
      </c>
      <c r="L12" s="40">
        <v>42</v>
      </c>
      <c r="M12" s="40">
        <v>20</v>
      </c>
      <c r="N12" s="40">
        <v>18</v>
      </c>
      <c r="O12" s="40">
        <v>120</v>
      </c>
      <c r="P12" s="40">
        <v>20</v>
      </c>
      <c r="Q12" t="s">
        <v>67</v>
      </c>
      <c r="R12" s="42">
        <v>275</v>
      </c>
      <c r="S12" s="27" cm="1">
        <f t="array" ref="S12">SUMPRODUCT(B12:P12, TRANSPOSE($B$14:$B$28))</f>
        <v>262</v>
      </c>
    </row>
    <row r="13" spans="1:19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R13" s="32"/>
    </row>
    <row r="14" spans="1:19" x14ac:dyDescent="0.3">
      <c r="A14" s="25" t="s">
        <v>3</v>
      </c>
      <c r="B14" s="25">
        <v>1</v>
      </c>
    </row>
    <row r="15" spans="1:19" x14ac:dyDescent="0.3">
      <c r="A15" s="25" t="s">
        <v>4</v>
      </c>
      <c r="B15" s="25">
        <v>1</v>
      </c>
    </row>
    <row r="16" spans="1:19" x14ac:dyDescent="0.3">
      <c r="A16" s="25" t="s">
        <v>5</v>
      </c>
      <c r="B16" s="25">
        <v>0</v>
      </c>
    </row>
    <row r="17" spans="1:2" x14ac:dyDescent="0.3">
      <c r="A17" s="25" t="s">
        <v>6</v>
      </c>
      <c r="B17" s="25">
        <v>1</v>
      </c>
    </row>
    <row r="18" spans="1:2" x14ac:dyDescent="0.3">
      <c r="A18" s="25" t="s">
        <v>7</v>
      </c>
      <c r="B18" s="25">
        <v>0</v>
      </c>
    </row>
    <row r="19" spans="1:2" x14ac:dyDescent="0.3">
      <c r="A19" s="25" t="s">
        <v>8</v>
      </c>
      <c r="B19" s="25">
        <v>1</v>
      </c>
    </row>
    <row r="20" spans="1:2" x14ac:dyDescent="0.3">
      <c r="A20" s="25" t="s">
        <v>9</v>
      </c>
      <c r="B20" s="25">
        <v>1</v>
      </c>
    </row>
    <row r="21" spans="1:2" x14ac:dyDescent="0.3">
      <c r="A21" s="25" t="s">
        <v>10</v>
      </c>
      <c r="B21" s="25">
        <v>0</v>
      </c>
    </row>
    <row r="22" spans="1:2" x14ac:dyDescent="0.3">
      <c r="A22" s="25" t="s">
        <v>11</v>
      </c>
      <c r="B22" s="25">
        <v>1</v>
      </c>
    </row>
    <row r="23" spans="1:2" x14ac:dyDescent="0.3">
      <c r="A23" s="25" t="s">
        <v>12</v>
      </c>
      <c r="B23" s="25">
        <v>1</v>
      </c>
    </row>
    <row r="24" spans="1:2" x14ac:dyDescent="0.3">
      <c r="A24" s="25" t="s">
        <v>13</v>
      </c>
      <c r="B24" s="25">
        <v>0</v>
      </c>
    </row>
    <row r="25" spans="1:2" x14ac:dyDescent="0.3">
      <c r="A25" s="25" t="s">
        <v>14</v>
      </c>
      <c r="B25" s="25">
        <v>0</v>
      </c>
    </row>
    <row r="26" spans="1:2" x14ac:dyDescent="0.3">
      <c r="A26" s="25" t="s">
        <v>15</v>
      </c>
      <c r="B26" s="25">
        <v>0</v>
      </c>
    </row>
    <row r="27" spans="1:2" x14ac:dyDescent="0.3">
      <c r="A27" s="25" t="s">
        <v>16</v>
      </c>
      <c r="B27" s="25">
        <v>1</v>
      </c>
    </row>
    <row r="28" spans="1:2" x14ac:dyDescent="0.3">
      <c r="A28" s="25" t="s">
        <v>17</v>
      </c>
      <c r="B28" s="25">
        <v>1</v>
      </c>
    </row>
    <row r="30" spans="1:2" x14ac:dyDescent="0.3">
      <c r="A30" s="34" t="s">
        <v>91</v>
      </c>
      <c r="B30" s="35" cm="1">
        <f t="array" ref="B30">SUMPRODUCT(B2:P2, TRANSPOSE(B14:B28))</f>
        <v>4015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A13D-6624-4B11-90D4-F91969DFDE25}">
  <dimension ref="A1:Z35"/>
  <sheetViews>
    <sheetView topLeftCell="K1" workbookViewId="0">
      <selection activeCell="C35" sqref="C35"/>
    </sheetView>
  </sheetViews>
  <sheetFormatPr defaultRowHeight="14.4" x14ac:dyDescent="0.3"/>
  <sheetData>
    <row r="1" spans="1:26" x14ac:dyDescent="0.3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/>
      <c r="W1" s="13" t="s">
        <v>31</v>
      </c>
    </row>
    <row r="2" spans="1:26" x14ac:dyDescent="0.3">
      <c r="A2" s="16" t="s">
        <v>32</v>
      </c>
      <c r="B2" s="17">
        <v>100</v>
      </c>
      <c r="C2" s="17">
        <v>220</v>
      </c>
      <c r="D2" s="17">
        <v>90</v>
      </c>
      <c r="E2" s="17">
        <v>400</v>
      </c>
      <c r="F2" s="17">
        <v>300</v>
      </c>
      <c r="G2" s="17">
        <v>400</v>
      </c>
      <c r="H2" s="17">
        <v>205</v>
      </c>
      <c r="I2" s="17">
        <v>120</v>
      </c>
      <c r="J2" s="17">
        <v>160</v>
      </c>
      <c r="K2" s="17">
        <v>580</v>
      </c>
      <c r="L2" s="17">
        <v>400</v>
      </c>
      <c r="M2" s="17">
        <v>140</v>
      </c>
      <c r="N2" s="17">
        <v>100</v>
      </c>
      <c r="O2" s="17">
        <v>1300</v>
      </c>
      <c r="P2" s="17">
        <v>650</v>
      </c>
      <c r="Q2" s="17">
        <v>320</v>
      </c>
      <c r="R2" s="17">
        <v>480</v>
      </c>
      <c r="S2" s="17">
        <v>80</v>
      </c>
      <c r="T2" s="17">
        <v>60</v>
      </c>
      <c r="U2" s="17">
        <v>2550</v>
      </c>
      <c r="V2" s="17"/>
      <c r="W2" s="7"/>
    </row>
    <row r="3" spans="1:26" x14ac:dyDescent="0.3">
      <c r="A3" s="18" t="s">
        <v>33</v>
      </c>
      <c r="B3" s="19">
        <v>8</v>
      </c>
      <c r="C3" s="19">
        <v>24</v>
      </c>
      <c r="D3" s="19">
        <v>13</v>
      </c>
      <c r="E3" s="19">
        <v>80</v>
      </c>
      <c r="F3" s="19">
        <v>70</v>
      </c>
      <c r="G3" s="19">
        <v>80</v>
      </c>
      <c r="H3" s="19">
        <v>45</v>
      </c>
      <c r="I3" s="19">
        <v>15</v>
      </c>
      <c r="J3" s="19">
        <v>28</v>
      </c>
      <c r="K3" s="19">
        <v>90</v>
      </c>
      <c r="L3" s="19">
        <v>130</v>
      </c>
      <c r="M3" s="19">
        <v>32</v>
      </c>
      <c r="N3" s="19">
        <v>20</v>
      </c>
      <c r="O3" s="19">
        <v>120</v>
      </c>
      <c r="P3" s="19">
        <v>40</v>
      </c>
      <c r="Q3" s="19">
        <v>30</v>
      </c>
      <c r="R3" s="19">
        <v>20</v>
      </c>
      <c r="S3" s="19">
        <v>6</v>
      </c>
      <c r="T3" s="19">
        <v>3</v>
      </c>
      <c r="U3" s="19">
        <v>180</v>
      </c>
      <c r="V3" s="19" t="s">
        <v>67</v>
      </c>
      <c r="W3" s="20">
        <v>550</v>
      </c>
      <c r="X3" s="27" cm="1">
        <f t="array" ref="X3">SUMPRODUCT(B3:U3, TRANSPOSE($B$14:$B$33))</f>
        <v>496.5</v>
      </c>
      <c r="Y3" cm="1">
        <f t="array" ref="Y3">SUMPRODUCT(B3:U3,TRANSPOSE($C$14:$C$33))</f>
        <v>459</v>
      </c>
      <c r="Z3" t="str">
        <f>IF(W3&gt;=Y3,"f","nf")</f>
        <v>f</v>
      </c>
    </row>
    <row r="4" spans="1:26" x14ac:dyDescent="0.3">
      <c r="A4" s="22" t="s">
        <v>34</v>
      </c>
      <c r="B4" s="23">
        <v>8</v>
      </c>
      <c r="C4" s="23">
        <v>44</v>
      </c>
      <c r="D4" s="23">
        <v>13</v>
      </c>
      <c r="E4" s="23">
        <v>100</v>
      </c>
      <c r="F4" s="23">
        <v>100</v>
      </c>
      <c r="G4" s="23">
        <v>90</v>
      </c>
      <c r="H4" s="23">
        <v>75</v>
      </c>
      <c r="I4" s="23">
        <v>25</v>
      </c>
      <c r="J4" s="23">
        <v>28</v>
      </c>
      <c r="K4" s="23">
        <v>120</v>
      </c>
      <c r="L4" s="23">
        <v>130</v>
      </c>
      <c r="M4" s="23">
        <v>32</v>
      </c>
      <c r="N4" s="23">
        <v>40</v>
      </c>
      <c r="O4" s="23">
        <v>160</v>
      </c>
      <c r="P4" s="23">
        <v>40</v>
      </c>
      <c r="Q4" s="23">
        <v>60</v>
      </c>
      <c r="R4" s="23">
        <v>55</v>
      </c>
      <c r="S4" s="23">
        <v>10</v>
      </c>
      <c r="T4" s="23">
        <v>6</v>
      </c>
      <c r="U4" s="23">
        <v>240</v>
      </c>
      <c r="V4" s="19" t="s">
        <v>67</v>
      </c>
      <c r="W4" s="20">
        <v>700</v>
      </c>
      <c r="X4" s="27" cm="1">
        <f t="array" ref="X4">SUMPRODUCT(B4:U4, TRANSPOSE($B$14:$B$33))</f>
        <v>700</v>
      </c>
      <c r="Y4" cm="1">
        <f t="array" ref="Y4">SUMPRODUCT(B4:U4,TRANSPOSE($C$14:$C$33))</f>
        <v>651</v>
      </c>
      <c r="Z4" t="str">
        <f t="shared" ref="Z4:Z12" si="0">IF(W4&gt;=Y4,"f","nf")</f>
        <v>f</v>
      </c>
    </row>
    <row r="5" spans="1:26" x14ac:dyDescent="0.3">
      <c r="A5" s="18" t="s">
        <v>35</v>
      </c>
      <c r="B5" s="19">
        <v>3</v>
      </c>
      <c r="C5" s="19">
        <v>6</v>
      </c>
      <c r="D5" s="19">
        <v>4</v>
      </c>
      <c r="E5" s="19">
        <v>20</v>
      </c>
      <c r="F5" s="19">
        <v>20</v>
      </c>
      <c r="G5" s="19">
        <v>30</v>
      </c>
      <c r="H5" s="19">
        <v>8</v>
      </c>
      <c r="I5" s="19">
        <v>3</v>
      </c>
      <c r="J5" s="19">
        <v>12</v>
      </c>
      <c r="K5" s="19">
        <v>14</v>
      </c>
      <c r="L5" s="19">
        <v>40</v>
      </c>
      <c r="M5" s="19">
        <v>6</v>
      </c>
      <c r="N5" s="19">
        <v>3</v>
      </c>
      <c r="O5" s="19">
        <v>20</v>
      </c>
      <c r="P5" s="19">
        <v>5</v>
      </c>
      <c r="Q5" s="19">
        <v>0</v>
      </c>
      <c r="R5" s="19">
        <v>5</v>
      </c>
      <c r="S5" s="19">
        <v>3</v>
      </c>
      <c r="T5" s="19">
        <v>0</v>
      </c>
      <c r="U5" s="19">
        <v>20</v>
      </c>
      <c r="V5" s="19" t="s">
        <v>67</v>
      </c>
      <c r="W5" s="20">
        <v>130</v>
      </c>
      <c r="X5" s="27" cm="1">
        <f t="array" ref="X5">SUMPRODUCT(B5:U5, TRANSPOSE($B$14:$B$33))</f>
        <v>80.066666666666663</v>
      </c>
      <c r="Y5" cm="1">
        <f t="array" ref="Y5">SUMPRODUCT(B5:U5,TRANSPOSE($C$14:$C$33))</f>
        <v>74</v>
      </c>
      <c r="Z5" t="str">
        <f t="shared" si="0"/>
        <v>f</v>
      </c>
    </row>
    <row r="6" spans="1:26" x14ac:dyDescent="0.3">
      <c r="A6" s="22" t="s">
        <v>36</v>
      </c>
      <c r="B6" s="23">
        <v>5</v>
      </c>
      <c r="C6" s="23">
        <v>9</v>
      </c>
      <c r="D6" s="23">
        <v>6</v>
      </c>
      <c r="E6" s="23">
        <v>40</v>
      </c>
      <c r="F6" s="23">
        <v>30</v>
      </c>
      <c r="G6" s="23">
        <v>40</v>
      </c>
      <c r="H6" s="23">
        <v>16</v>
      </c>
      <c r="I6" s="23">
        <v>5</v>
      </c>
      <c r="J6" s="23">
        <v>18</v>
      </c>
      <c r="K6" s="23">
        <v>24</v>
      </c>
      <c r="L6" s="23">
        <v>60</v>
      </c>
      <c r="M6" s="23">
        <v>16</v>
      </c>
      <c r="N6" s="23">
        <v>11</v>
      </c>
      <c r="O6" s="23">
        <v>30</v>
      </c>
      <c r="P6" s="23">
        <v>25</v>
      </c>
      <c r="Q6" s="23">
        <v>10</v>
      </c>
      <c r="R6" s="23">
        <v>13</v>
      </c>
      <c r="S6" s="23">
        <v>5</v>
      </c>
      <c r="T6" s="23">
        <v>1</v>
      </c>
      <c r="U6" s="23">
        <v>80</v>
      </c>
      <c r="V6" s="19" t="s">
        <v>67</v>
      </c>
      <c r="W6" s="20">
        <v>240</v>
      </c>
      <c r="X6" s="27" cm="1">
        <f t="array" ref="X6">SUMPRODUCT(B6:U6, TRANSPOSE($B$14:$B$33))</f>
        <v>205.89999999999998</v>
      </c>
      <c r="Y6" cm="1">
        <f t="array" ref="Y6">SUMPRODUCT(B6:U6,TRANSPOSE($C$14:$C$33))</f>
        <v>196</v>
      </c>
      <c r="Z6" t="str">
        <f t="shared" si="0"/>
        <v>f</v>
      </c>
    </row>
    <row r="7" spans="1:26" x14ac:dyDescent="0.3">
      <c r="A7" s="18" t="s">
        <v>37</v>
      </c>
      <c r="B7" s="19">
        <v>5</v>
      </c>
      <c r="C7" s="19">
        <v>11</v>
      </c>
      <c r="D7" s="19">
        <v>7</v>
      </c>
      <c r="E7" s="19">
        <v>50</v>
      </c>
      <c r="F7" s="19">
        <v>40</v>
      </c>
      <c r="G7" s="19">
        <v>40</v>
      </c>
      <c r="H7" s="19">
        <v>19</v>
      </c>
      <c r="I7" s="19">
        <v>7</v>
      </c>
      <c r="J7" s="19">
        <v>18</v>
      </c>
      <c r="K7" s="19">
        <v>29</v>
      </c>
      <c r="L7" s="19">
        <v>70</v>
      </c>
      <c r="M7" s="19">
        <v>21</v>
      </c>
      <c r="N7" s="19">
        <v>17</v>
      </c>
      <c r="O7" s="19">
        <v>30</v>
      </c>
      <c r="P7" s="19">
        <v>25</v>
      </c>
      <c r="Q7" s="19">
        <v>15</v>
      </c>
      <c r="R7" s="19">
        <v>25</v>
      </c>
      <c r="S7" s="19">
        <v>5</v>
      </c>
      <c r="T7" s="19">
        <v>1</v>
      </c>
      <c r="U7" s="19">
        <v>100</v>
      </c>
      <c r="V7" s="19" t="s">
        <v>67</v>
      </c>
      <c r="W7" s="20">
        <v>280</v>
      </c>
      <c r="X7" s="27" cm="1">
        <f t="array" ref="X7">SUMPRODUCT(B7:U7, TRANSPOSE($B$14:$B$33))</f>
        <v>246.81666666666666</v>
      </c>
      <c r="Y7" cm="1">
        <f t="array" ref="Y7">SUMPRODUCT(B7:U7,TRANSPOSE($C$14:$C$33))</f>
        <v>235</v>
      </c>
      <c r="Z7" t="str">
        <f t="shared" si="0"/>
        <v>f</v>
      </c>
    </row>
    <row r="8" spans="1:26" x14ac:dyDescent="0.3">
      <c r="A8" s="22" t="s">
        <v>38</v>
      </c>
      <c r="B8" s="23">
        <v>5</v>
      </c>
      <c r="C8" s="23">
        <v>11</v>
      </c>
      <c r="D8" s="23">
        <v>7</v>
      </c>
      <c r="E8" s="23">
        <v>55</v>
      </c>
      <c r="F8" s="23">
        <v>40</v>
      </c>
      <c r="G8" s="23">
        <v>40</v>
      </c>
      <c r="H8" s="23">
        <v>21</v>
      </c>
      <c r="I8" s="23">
        <v>9</v>
      </c>
      <c r="J8" s="23">
        <v>18</v>
      </c>
      <c r="K8" s="23">
        <v>29</v>
      </c>
      <c r="L8" s="23">
        <v>70</v>
      </c>
      <c r="M8" s="23">
        <v>21</v>
      </c>
      <c r="N8" s="23">
        <v>17</v>
      </c>
      <c r="O8" s="23">
        <v>35</v>
      </c>
      <c r="P8" s="23">
        <v>25</v>
      </c>
      <c r="Q8" s="23">
        <v>20</v>
      </c>
      <c r="R8" s="23">
        <v>25</v>
      </c>
      <c r="S8" s="23">
        <v>5</v>
      </c>
      <c r="T8" s="23">
        <v>2</v>
      </c>
      <c r="U8" s="23">
        <v>110</v>
      </c>
      <c r="V8" s="19" t="s">
        <v>67</v>
      </c>
      <c r="W8" s="20">
        <v>310</v>
      </c>
      <c r="X8" s="27" cm="1">
        <f t="array" ref="X8">SUMPRODUCT(B8:U8, TRANSPOSE($B$14:$B$33))</f>
        <v>267.56666666666666</v>
      </c>
      <c r="Y8" cm="1">
        <f t="array" ref="Y8">SUMPRODUCT(B8:U8,TRANSPOSE($C$14:$C$33))</f>
        <v>256</v>
      </c>
      <c r="Z8" t="str">
        <f t="shared" si="0"/>
        <v>f</v>
      </c>
    </row>
    <row r="9" spans="1:26" x14ac:dyDescent="0.3">
      <c r="A9" s="18" t="s">
        <v>39</v>
      </c>
      <c r="B9" s="19">
        <v>0</v>
      </c>
      <c r="C9" s="19">
        <v>0</v>
      </c>
      <c r="D9" s="19">
        <v>1</v>
      </c>
      <c r="E9" s="19">
        <v>10</v>
      </c>
      <c r="F9" s="19">
        <v>4</v>
      </c>
      <c r="G9" s="19">
        <v>10</v>
      </c>
      <c r="H9" s="19">
        <v>0</v>
      </c>
      <c r="I9" s="19">
        <v>6</v>
      </c>
      <c r="J9" s="19">
        <v>0</v>
      </c>
      <c r="K9" s="19">
        <v>6</v>
      </c>
      <c r="L9" s="19">
        <v>32</v>
      </c>
      <c r="M9" s="19">
        <v>3</v>
      </c>
      <c r="N9" s="19">
        <v>0</v>
      </c>
      <c r="O9" s="19">
        <v>70</v>
      </c>
      <c r="P9" s="19">
        <v>10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 t="s">
        <v>67</v>
      </c>
      <c r="W9" s="20">
        <v>110</v>
      </c>
      <c r="X9" s="27" cm="1">
        <f t="array" ref="X9">SUMPRODUCT(B9:U9, TRANSPOSE($B$14:$B$33))</f>
        <v>82.6</v>
      </c>
      <c r="Y9" cm="1">
        <f t="array" ref="Y9">SUMPRODUCT(B9:U9,TRANSPOSE($C$14:$C$33))</f>
        <v>80</v>
      </c>
      <c r="Z9" t="str">
        <f t="shared" si="0"/>
        <v>f</v>
      </c>
    </row>
    <row r="10" spans="1:26" x14ac:dyDescent="0.3">
      <c r="A10" s="22" t="s">
        <v>40</v>
      </c>
      <c r="B10" s="23">
        <v>3</v>
      </c>
      <c r="C10" s="23">
        <v>4</v>
      </c>
      <c r="D10" s="23">
        <v>5</v>
      </c>
      <c r="E10" s="23">
        <v>20</v>
      </c>
      <c r="F10" s="23">
        <v>14</v>
      </c>
      <c r="G10" s="23">
        <v>20</v>
      </c>
      <c r="H10" s="23">
        <v>6</v>
      </c>
      <c r="I10" s="23">
        <v>12</v>
      </c>
      <c r="J10" s="23">
        <v>10</v>
      </c>
      <c r="K10" s="23">
        <v>18</v>
      </c>
      <c r="L10" s="23">
        <v>42</v>
      </c>
      <c r="M10" s="23">
        <v>9</v>
      </c>
      <c r="N10" s="23">
        <v>12</v>
      </c>
      <c r="O10" s="23">
        <v>100</v>
      </c>
      <c r="P10" s="23">
        <v>20</v>
      </c>
      <c r="Q10" s="23">
        <v>5</v>
      </c>
      <c r="R10" s="23">
        <v>6</v>
      </c>
      <c r="S10" s="23">
        <v>4</v>
      </c>
      <c r="T10" s="23">
        <v>1</v>
      </c>
      <c r="U10" s="23">
        <v>20</v>
      </c>
      <c r="V10" s="19" t="s">
        <v>67</v>
      </c>
      <c r="W10" s="20">
        <v>205</v>
      </c>
      <c r="X10" s="27" cm="1">
        <f t="array" ref="X10">SUMPRODUCT(B10:U10, TRANSPOSE($B$14:$B$33))</f>
        <v>180.55</v>
      </c>
      <c r="Y10" cm="1">
        <f t="array" ref="Y10">SUMPRODUCT(B10:U10,TRANSPOSE($C$14:$C$33))</f>
        <v>173</v>
      </c>
      <c r="Z10" t="str">
        <f t="shared" si="0"/>
        <v>f</v>
      </c>
    </row>
    <row r="11" spans="1:26" x14ac:dyDescent="0.3">
      <c r="A11" s="18" t="s">
        <v>41</v>
      </c>
      <c r="B11" s="19">
        <v>3</v>
      </c>
      <c r="C11" s="19">
        <v>6</v>
      </c>
      <c r="D11" s="19">
        <v>9</v>
      </c>
      <c r="E11" s="19">
        <v>30</v>
      </c>
      <c r="F11" s="19">
        <v>29</v>
      </c>
      <c r="G11" s="19">
        <v>20</v>
      </c>
      <c r="H11" s="19">
        <v>12</v>
      </c>
      <c r="I11" s="19">
        <v>12</v>
      </c>
      <c r="J11" s="19">
        <v>10</v>
      </c>
      <c r="K11" s="19">
        <v>30</v>
      </c>
      <c r="L11" s="19">
        <v>42</v>
      </c>
      <c r="M11" s="19">
        <v>18</v>
      </c>
      <c r="N11" s="19">
        <v>18</v>
      </c>
      <c r="O11" s="19">
        <v>110</v>
      </c>
      <c r="P11" s="19">
        <v>20</v>
      </c>
      <c r="Q11" s="19">
        <v>15</v>
      </c>
      <c r="R11" s="19">
        <v>18</v>
      </c>
      <c r="S11" s="19">
        <v>7</v>
      </c>
      <c r="T11" s="19">
        <v>2</v>
      </c>
      <c r="U11" s="19">
        <v>40</v>
      </c>
      <c r="V11" s="19" t="s">
        <v>67</v>
      </c>
      <c r="W11" s="20">
        <v>260</v>
      </c>
      <c r="X11" s="27" cm="1">
        <f t="array" ref="X11">SUMPRODUCT(B11:U11, TRANSPOSE($B$14:$B$33))</f>
        <v>243.25</v>
      </c>
      <c r="Y11" cm="1">
        <f t="array" ref="Y11">SUMPRODUCT(B11:U11,TRANSPOSE($C$14:$C$33))</f>
        <v>231</v>
      </c>
      <c r="Z11" t="str">
        <f t="shared" si="0"/>
        <v>f</v>
      </c>
    </row>
    <row r="12" spans="1:26" x14ac:dyDescent="0.3">
      <c r="A12" s="22" t="s">
        <v>42</v>
      </c>
      <c r="B12" s="23">
        <v>3</v>
      </c>
      <c r="C12" s="23">
        <v>8</v>
      </c>
      <c r="D12" s="23">
        <v>9</v>
      </c>
      <c r="E12" s="23">
        <v>35</v>
      </c>
      <c r="F12" s="23">
        <v>29</v>
      </c>
      <c r="G12" s="23">
        <v>20</v>
      </c>
      <c r="H12" s="23">
        <v>16</v>
      </c>
      <c r="I12" s="23">
        <v>15</v>
      </c>
      <c r="J12" s="23">
        <v>10</v>
      </c>
      <c r="K12" s="23">
        <v>30</v>
      </c>
      <c r="L12" s="23">
        <v>42</v>
      </c>
      <c r="M12" s="23">
        <v>20</v>
      </c>
      <c r="N12" s="23">
        <v>18</v>
      </c>
      <c r="O12" s="23">
        <v>120</v>
      </c>
      <c r="P12" s="23">
        <v>20</v>
      </c>
      <c r="Q12" s="23">
        <v>20</v>
      </c>
      <c r="R12" s="23">
        <v>22</v>
      </c>
      <c r="S12" s="23">
        <v>7</v>
      </c>
      <c r="T12" s="23">
        <v>3</v>
      </c>
      <c r="U12" s="23">
        <v>50</v>
      </c>
      <c r="V12" s="19" t="s">
        <v>67</v>
      </c>
      <c r="W12" s="20">
        <v>275</v>
      </c>
      <c r="X12" s="27" cm="1">
        <f t="array" ref="X12">SUMPRODUCT(B12:U12, TRANSPOSE($B$14:$B$33))</f>
        <v>275</v>
      </c>
      <c r="Y12" cm="1">
        <f t="array" ref="Y12">SUMPRODUCT(B12:U12,TRANSPOSE($C$14:$C$33))</f>
        <v>263</v>
      </c>
      <c r="Z12" t="str">
        <f t="shared" si="0"/>
        <v>f</v>
      </c>
    </row>
    <row r="13" spans="1:26" x14ac:dyDescent="0.3">
      <c r="X13" s="27"/>
    </row>
    <row r="14" spans="1:26" x14ac:dyDescent="0.3">
      <c r="A14" s="25" t="s">
        <v>3</v>
      </c>
      <c r="B14">
        <v>1</v>
      </c>
      <c r="C14">
        <f>ROUND(B14,0)</f>
        <v>1</v>
      </c>
    </row>
    <row r="15" spans="1:26" x14ac:dyDescent="0.3">
      <c r="A15" s="25" t="s">
        <v>4</v>
      </c>
      <c r="B15">
        <v>1</v>
      </c>
      <c r="C15">
        <f t="shared" ref="C15:C33" si="1">ROUND(B15,0)</f>
        <v>1</v>
      </c>
    </row>
    <row r="16" spans="1:26" x14ac:dyDescent="0.3">
      <c r="A16" s="25" t="s">
        <v>5</v>
      </c>
      <c r="B16">
        <v>0</v>
      </c>
      <c r="C16">
        <f t="shared" si="1"/>
        <v>0</v>
      </c>
    </row>
    <row r="17" spans="1:3" x14ac:dyDescent="0.3">
      <c r="A17" s="25" t="s">
        <v>6</v>
      </c>
      <c r="B17">
        <v>0</v>
      </c>
      <c r="C17">
        <f t="shared" si="1"/>
        <v>0</v>
      </c>
    </row>
    <row r="18" spans="1:3" x14ac:dyDescent="0.3">
      <c r="A18" s="25" t="s">
        <v>7</v>
      </c>
      <c r="B18">
        <v>0</v>
      </c>
      <c r="C18">
        <f t="shared" si="1"/>
        <v>0</v>
      </c>
    </row>
    <row r="19" spans="1:3" x14ac:dyDescent="0.3">
      <c r="A19" s="25" t="s">
        <v>8</v>
      </c>
      <c r="B19">
        <v>0</v>
      </c>
      <c r="C19">
        <f t="shared" si="1"/>
        <v>0</v>
      </c>
    </row>
    <row r="20" spans="1:3" x14ac:dyDescent="0.3">
      <c r="A20" s="25" t="s">
        <v>9</v>
      </c>
      <c r="B20">
        <v>0</v>
      </c>
      <c r="C20">
        <f t="shared" si="1"/>
        <v>0</v>
      </c>
    </row>
    <row r="21" spans="1:3" x14ac:dyDescent="0.3">
      <c r="A21" s="25" t="s">
        <v>10</v>
      </c>
      <c r="B21">
        <v>0</v>
      </c>
      <c r="C21">
        <f t="shared" si="1"/>
        <v>0</v>
      </c>
    </row>
    <row r="22" spans="1:3" x14ac:dyDescent="0.3">
      <c r="A22" s="25" t="s">
        <v>11</v>
      </c>
      <c r="B22">
        <v>1</v>
      </c>
      <c r="C22">
        <f t="shared" si="1"/>
        <v>1</v>
      </c>
    </row>
    <row r="23" spans="1:3" x14ac:dyDescent="0.3">
      <c r="A23" s="25" t="s">
        <v>12</v>
      </c>
      <c r="B23">
        <v>0.43333333333333302</v>
      </c>
      <c r="C23">
        <f t="shared" si="1"/>
        <v>0</v>
      </c>
    </row>
    <row r="24" spans="1:3" x14ac:dyDescent="0.3">
      <c r="A24" s="25" t="s">
        <v>13</v>
      </c>
      <c r="B24">
        <v>0</v>
      </c>
      <c r="C24">
        <f t="shared" si="1"/>
        <v>0</v>
      </c>
    </row>
    <row r="25" spans="1:3" x14ac:dyDescent="0.3">
      <c r="A25" s="25" t="s">
        <v>14</v>
      </c>
      <c r="B25">
        <v>0</v>
      </c>
      <c r="C25">
        <f t="shared" si="1"/>
        <v>0</v>
      </c>
    </row>
    <row r="26" spans="1:3" x14ac:dyDescent="0.3">
      <c r="A26" s="25" t="s">
        <v>15</v>
      </c>
      <c r="B26">
        <v>0</v>
      </c>
      <c r="C26">
        <f t="shared" si="1"/>
        <v>0</v>
      </c>
    </row>
    <row r="27" spans="1:3" x14ac:dyDescent="0.3">
      <c r="A27" s="25" t="s">
        <v>16</v>
      </c>
      <c r="B27">
        <v>1</v>
      </c>
      <c r="C27">
        <f t="shared" si="1"/>
        <v>1</v>
      </c>
    </row>
    <row r="28" spans="1:3" x14ac:dyDescent="0.3">
      <c r="A28" s="25" t="s">
        <v>17</v>
      </c>
      <c r="B28">
        <v>1</v>
      </c>
      <c r="C28">
        <f t="shared" si="1"/>
        <v>1</v>
      </c>
    </row>
    <row r="29" spans="1:3" x14ac:dyDescent="0.3">
      <c r="A29" s="25" t="s">
        <v>18</v>
      </c>
      <c r="B29">
        <v>0.95000000000000029</v>
      </c>
      <c r="C29">
        <f t="shared" si="1"/>
        <v>1</v>
      </c>
    </row>
    <row r="30" spans="1:3" x14ac:dyDescent="0.3">
      <c r="A30" s="25" t="s">
        <v>19</v>
      </c>
      <c r="B30">
        <v>1</v>
      </c>
      <c r="C30">
        <f t="shared" si="1"/>
        <v>1</v>
      </c>
    </row>
    <row r="31" spans="1:3" x14ac:dyDescent="0.3">
      <c r="A31" s="25" t="s">
        <v>20</v>
      </c>
      <c r="B31">
        <v>1</v>
      </c>
      <c r="C31">
        <f t="shared" si="1"/>
        <v>1</v>
      </c>
    </row>
    <row r="32" spans="1:3" x14ac:dyDescent="0.3">
      <c r="A32" s="25" t="s">
        <v>21</v>
      </c>
      <c r="B32">
        <v>1</v>
      </c>
      <c r="C32">
        <f t="shared" si="1"/>
        <v>1</v>
      </c>
    </row>
    <row r="33" spans="1:3" x14ac:dyDescent="0.3">
      <c r="A33" s="25" t="s">
        <v>22</v>
      </c>
      <c r="B33">
        <v>1</v>
      </c>
      <c r="C33">
        <f t="shared" si="1"/>
        <v>1</v>
      </c>
    </row>
    <row r="35" spans="1:3" x14ac:dyDescent="0.3">
      <c r="A35" s="34" t="s">
        <v>91</v>
      </c>
      <c r="B35" s="35" cm="1">
        <f t="array" ref="B35">SUMPRODUCT($B$2:$U$2, TRANSPOSE(B14:B33))</f>
        <v>6155.333333333333</v>
      </c>
      <c r="C35" s="35" cm="1">
        <f t="array" ref="C35">SUMPRODUCT($B$2:$U$2, TRANSPOSE(C14:C33))</f>
        <v>5920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41A6-3893-4227-98CA-1C9C79529091}">
  <dimension ref="A1:X35"/>
  <sheetViews>
    <sheetView topLeftCell="A23" workbookViewId="0">
      <selection activeCell="B35" sqref="B35"/>
    </sheetView>
  </sheetViews>
  <sheetFormatPr defaultRowHeight="14.4" x14ac:dyDescent="0.3"/>
  <sheetData>
    <row r="1" spans="1:24" x14ac:dyDescent="0.3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/>
      <c r="W1" s="13" t="s">
        <v>31</v>
      </c>
    </row>
    <row r="2" spans="1:24" x14ac:dyDescent="0.3">
      <c r="A2" s="16" t="s">
        <v>32</v>
      </c>
      <c r="B2" s="17">
        <v>100</v>
      </c>
      <c r="C2" s="17">
        <v>220</v>
      </c>
      <c r="D2" s="17">
        <v>90</v>
      </c>
      <c r="E2" s="17">
        <v>400</v>
      </c>
      <c r="F2" s="17">
        <v>300</v>
      </c>
      <c r="G2" s="17">
        <v>400</v>
      </c>
      <c r="H2" s="17">
        <v>205</v>
      </c>
      <c r="I2" s="17">
        <v>120</v>
      </c>
      <c r="J2" s="17">
        <v>160</v>
      </c>
      <c r="K2" s="17">
        <v>580</v>
      </c>
      <c r="L2" s="17">
        <v>400</v>
      </c>
      <c r="M2" s="17">
        <v>140</v>
      </c>
      <c r="N2" s="17">
        <v>100</v>
      </c>
      <c r="O2" s="17">
        <v>1300</v>
      </c>
      <c r="P2" s="17">
        <v>650</v>
      </c>
      <c r="Q2" s="17">
        <v>320</v>
      </c>
      <c r="R2" s="17">
        <v>480</v>
      </c>
      <c r="S2" s="17">
        <v>80</v>
      </c>
      <c r="T2" s="17">
        <v>60</v>
      </c>
      <c r="U2" s="17">
        <v>2550</v>
      </c>
      <c r="V2" s="17"/>
      <c r="W2" s="7"/>
    </row>
    <row r="3" spans="1:24" x14ac:dyDescent="0.3">
      <c r="A3" s="18" t="s">
        <v>33</v>
      </c>
      <c r="B3" s="19">
        <v>8</v>
      </c>
      <c r="C3" s="19">
        <v>24</v>
      </c>
      <c r="D3" s="19">
        <v>13</v>
      </c>
      <c r="E3" s="19">
        <v>80</v>
      </c>
      <c r="F3" s="19">
        <v>70</v>
      </c>
      <c r="G3" s="19">
        <v>80</v>
      </c>
      <c r="H3" s="19">
        <v>45</v>
      </c>
      <c r="I3" s="19">
        <v>15</v>
      </c>
      <c r="J3" s="19">
        <v>28</v>
      </c>
      <c r="K3" s="19">
        <v>90</v>
      </c>
      <c r="L3" s="19">
        <v>130</v>
      </c>
      <c r="M3" s="19">
        <v>32</v>
      </c>
      <c r="N3" s="19">
        <v>20</v>
      </c>
      <c r="O3" s="19">
        <v>120</v>
      </c>
      <c r="P3" s="19">
        <v>40</v>
      </c>
      <c r="Q3" s="19">
        <v>30</v>
      </c>
      <c r="R3" s="19">
        <v>20</v>
      </c>
      <c r="S3" s="19">
        <v>6</v>
      </c>
      <c r="T3" s="19">
        <v>3</v>
      </c>
      <c r="U3" s="19">
        <v>180</v>
      </c>
      <c r="V3" s="19" t="s">
        <v>67</v>
      </c>
      <c r="W3" s="20">
        <v>550</v>
      </c>
      <c r="X3" s="27" cm="1">
        <f t="array" ref="X3">SUMPRODUCT(B3:U3, TRANSPOSE($B$14:$B$33))</f>
        <v>497</v>
      </c>
    </row>
    <row r="4" spans="1:24" x14ac:dyDescent="0.3">
      <c r="A4" s="22" t="s">
        <v>34</v>
      </c>
      <c r="B4" s="23">
        <v>8</v>
      </c>
      <c r="C4" s="23">
        <v>44</v>
      </c>
      <c r="D4" s="23">
        <v>13</v>
      </c>
      <c r="E4" s="23">
        <v>100</v>
      </c>
      <c r="F4" s="23">
        <v>100</v>
      </c>
      <c r="G4" s="23">
        <v>90</v>
      </c>
      <c r="H4" s="23">
        <v>75</v>
      </c>
      <c r="I4" s="23">
        <v>25</v>
      </c>
      <c r="J4" s="23">
        <v>28</v>
      </c>
      <c r="K4" s="23">
        <v>120</v>
      </c>
      <c r="L4" s="23">
        <v>130</v>
      </c>
      <c r="M4" s="23">
        <v>32</v>
      </c>
      <c r="N4" s="23">
        <v>40</v>
      </c>
      <c r="O4" s="23">
        <v>160</v>
      </c>
      <c r="P4" s="23">
        <v>40</v>
      </c>
      <c r="Q4" s="23">
        <v>60</v>
      </c>
      <c r="R4" s="23">
        <v>55</v>
      </c>
      <c r="S4" s="23">
        <v>10</v>
      </c>
      <c r="T4" s="23">
        <v>6</v>
      </c>
      <c r="U4" s="23">
        <v>240</v>
      </c>
      <c r="V4" s="19" t="s">
        <v>67</v>
      </c>
      <c r="W4" s="20">
        <v>700</v>
      </c>
      <c r="X4" s="27" cm="1">
        <f t="array" ref="X4">SUMPRODUCT(B4:U4, TRANSPOSE($B$14:$B$33))</f>
        <v>699</v>
      </c>
    </row>
    <row r="5" spans="1:24" x14ac:dyDescent="0.3">
      <c r="A5" s="18" t="s">
        <v>35</v>
      </c>
      <c r="B5" s="19">
        <v>3</v>
      </c>
      <c r="C5" s="19">
        <v>6</v>
      </c>
      <c r="D5" s="19">
        <v>4</v>
      </c>
      <c r="E5" s="19">
        <v>20</v>
      </c>
      <c r="F5" s="19">
        <v>20</v>
      </c>
      <c r="G5" s="19">
        <v>30</v>
      </c>
      <c r="H5" s="19">
        <v>8</v>
      </c>
      <c r="I5" s="19">
        <v>3</v>
      </c>
      <c r="J5" s="19">
        <v>12</v>
      </c>
      <c r="K5" s="19">
        <v>14</v>
      </c>
      <c r="L5" s="19">
        <v>40</v>
      </c>
      <c r="M5" s="19">
        <v>6</v>
      </c>
      <c r="N5" s="19">
        <v>3</v>
      </c>
      <c r="O5" s="19">
        <v>20</v>
      </c>
      <c r="P5" s="19">
        <v>5</v>
      </c>
      <c r="Q5" s="19">
        <v>0</v>
      </c>
      <c r="R5" s="19">
        <v>5</v>
      </c>
      <c r="S5" s="19">
        <v>3</v>
      </c>
      <c r="T5" s="19">
        <v>0</v>
      </c>
      <c r="U5" s="19">
        <v>20</v>
      </c>
      <c r="V5" s="19" t="s">
        <v>67</v>
      </c>
      <c r="W5" s="20">
        <v>130</v>
      </c>
      <c r="X5" s="27" cm="1">
        <f t="array" ref="X5">SUMPRODUCT(B5:U5, TRANSPOSE($B$14:$B$33))</f>
        <v>70</v>
      </c>
    </row>
    <row r="6" spans="1:24" x14ac:dyDescent="0.3">
      <c r="A6" s="22" t="s">
        <v>36</v>
      </c>
      <c r="B6" s="23">
        <v>5</v>
      </c>
      <c r="C6" s="23">
        <v>9</v>
      </c>
      <c r="D6" s="23">
        <v>6</v>
      </c>
      <c r="E6" s="23">
        <v>40</v>
      </c>
      <c r="F6" s="23">
        <v>30</v>
      </c>
      <c r="G6" s="23">
        <v>40</v>
      </c>
      <c r="H6" s="23">
        <v>16</v>
      </c>
      <c r="I6" s="23">
        <v>5</v>
      </c>
      <c r="J6" s="23">
        <v>18</v>
      </c>
      <c r="K6" s="23">
        <v>24</v>
      </c>
      <c r="L6" s="23">
        <v>60</v>
      </c>
      <c r="M6" s="23">
        <v>16</v>
      </c>
      <c r="N6" s="23">
        <v>11</v>
      </c>
      <c r="O6" s="23">
        <v>30</v>
      </c>
      <c r="P6" s="23">
        <v>25</v>
      </c>
      <c r="Q6" s="23">
        <v>10</v>
      </c>
      <c r="R6" s="23">
        <v>13</v>
      </c>
      <c r="S6" s="23">
        <v>5</v>
      </c>
      <c r="T6" s="23">
        <v>1</v>
      </c>
      <c r="U6" s="23">
        <v>80</v>
      </c>
      <c r="V6" s="19" t="s">
        <v>67</v>
      </c>
      <c r="W6" s="20">
        <v>240</v>
      </c>
      <c r="X6" s="27" cm="1">
        <f t="array" ref="X6">SUMPRODUCT(B6:U6, TRANSPOSE($B$14:$B$33))</f>
        <v>193</v>
      </c>
    </row>
    <row r="7" spans="1:24" x14ac:dyDescent="0.3">
      <c r="A7" s="18" t="s">
        <v>37</v>
      </c>
      <c r="B7" s="19">
        <v>5</v>
      </c>
      <c r="C7" s="19">
        <v>11</v>
      </c>
      <c r="D7" s="19">
        <v>7</v>
      </c>
      <c r="E7" s="19">
        <v>50</v>
      </c>
      <c r="F7" s="19">
        <v>40</v>
      </c>
      <c r="G7" s="19">
        <v>40</v>
      </c>
      <c r="H7" s="19">
        <v>19</v>
      </c>
      <c r="I7" s="19">
        <v>7</v>
      </c>
      <c r="J7" s="19">
        <v>18</v>
      </c>
      <c r="K7" s="19">
        <v>29</v>
      </c>
      <c r="L7" s="19">
        <v>70</v>
      </c>
      <c r="M7" s="19">
        <v>21</v>
      </c>
      <c r="N7" s="19">
        <v>17</v>
      </c>
      <c r="O7" s="19">
        <v>30</v>
      </c>
      <c r="P7" s="19">
        <v>25</v>
      </c>
      <c r="Q7" s="19">
        <v>15</v>
      </c>
      <c r="R7" s="19">
        <v>25</v>
      </c>
      <c r="S7" s="19">
        <v>5</v>
      </c>
      <c r="T7" s="19">
        <v>1</v>
      </c>
      <c r="U7" s="19">
        <v>100</v>
      </c>
      <c r="V7" s="19" t="s">
        <v>67</v>
      </c>
      <c r="W7" s="20">
        <v>280</v>
      </c>
      <c r="X7" s="27" cm="1">
        <f t="array" ref="X7">SUMPRODUCT(B7:U7, TRANSPOSE($B$14:$B$33))</f>
        <v>235</v>
      </c>
    </row>
    <row r="8" spans="1:24" x14ac:dyDescent="0.3">
      <c r="A8" s="22" t="s">
        <v>38</v>
      </c>
      <c r="B8" s="23">
        <v>5</v>
      </c>
      <c r="C8" s="23">
        <v>11</v>
      </c>
      <c r="D8" s="23">
        <v>7</v>
      </c>
      <c r="E8" s="23">
        <v>55</v>
      </c>
      <c r="F8" s="23">
        <v>40</v>
      </c>
      <c r="G8" s="23">
        <v>40</v>
      </c>
      <c r="H8" s="23">
        <v>21</v>
      </c>
      <c r="I8" s="23">
        <v>9</v>
      </c>
      <c r="J8" s="23">
        <v>18</v>
      </c>
      <c r="K8" s="23">
        <v>29</v>
      </c>
      <c r="L8" s="23">
        <v>70</v>
      </c>
      <c r="M8" s="23">
        <v>21</v>
      </c>
      <c r="N8" s="23">
        <v>17</v>
      </c>
      <c r="O8" s="23">
        <v>35</v>
      </c>
      <c r="P8" s="23">
        <v>25</v>
      </c>
      <c r="Q8" s="23">
        <v>20</v>
      </c>
      <c r="R8" s="23">
        <v>25</v>
      </c>
      <c r="S8" s="23">
        <v>5</v>
      </c>
      <c r="T8" s="23">
        <v>2</v>
      </c>
      <c r="U8" s="23">
        <v>110</v>
      </c>
      <c r="V8" s="19" t="s">
        <v>67</v>
      </c>
      <c r="W8" s="20">
        <v>310</v>
      </c>
      <c r="X8" s="27" cm="1">
        <f t="array" ref="X8">SUMPRODUCT(B8:U8, TRANSPOSE($B$14:$B$33))</f>
        <v>256</v>
      </c>
    </row>
    <row r="9" spans="1:24" x14ac:dyDescent="0.3">
      <c r="A9" s="18" t="s">
        <v>39</v>
      </c>
      <c r="B9" s="19">
        <v>0</v>
      </c>
      <c r="C9" s="19">
        <v>0</v>
      </c>
      <c r="D9" s="19">
        <v>1</v>
      </c>
      <c r="E9" s="19">
        <v>10</v>
      </c>
      <c r="F9" s="19">
        <v>4</v>
      </c>
      <c r="G9" s="19">
        <v>10</v>
      </c>
      <c r="H9" s="19">
        <v>0</v>
      </c>
      <c r="I9" s="19">
        <v>6</v>
      </c>
      <c r="J9" s="19">
        <v>0</v>
      </c>
      <c r="K9" s="19">
        <v>6</v>
      </c>
      <c r="L9" s="19">
        <v>32</v>
      </c>
      <c r="M9" s="19">
        <v>3</v>
      </c>
      <c r="N9" s="19">
        <v>0</v>
      </c>
      <c r="O9" s="19">
        <v>70</v>
      </c>
      <c r="P9" s="19">
        <v>10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 t="s">
        <v>67</v>
      </c>
      <c r="W9" s="20">
        <v>110</v>
      </c>
      <c r="X9" s="27" cm="1">
        <f t="array" ref="X9">SUMPRODUCT(B9:U9, TRANSPOSE($B$14:$B$33))</f>
        <v>86</v>
      </c>
    </row>
    <row r="10" spans="1:24" x14ac:dyDescent="0.3">
      <c r="A10" s="22" t="s">
        <v>40</v>
      </c>
      <c r="B10" s="23">
        <v>3</v>
      </c>
      <c r="C10" s="23">
        <v>4</v>
      </c>
      <c r="D10" s="23">
        <v>5</v>
      </c>
      <c r="E10" s="23">
        <v>20</v>
      </c>
      <c r="F10" s="23">
        <v>14</v>
      </c>
      <c r="G10" s="23">
        <v>20</v>
      </c>
      <c r="H10" s="23">
        <v>6</v>
      </c>
      <c r="I10" s="23">
        <v>12</v>
      </c>
      <c r="J10" s="23">
        <v>10</v>
      </c>
      <c r="K10" s="23">
        <v>18</v>
      </c>
      <c r="L10" s="23">
        <v>42</v>
      </c>
      <c r="M10" s="23">
        <v>9</v>
      </c>
      <c r="N10" s="23">
        <v>12</v>
      </c>
      <c r="O10" s="23">
        <v>100</v>
      </c>
      <c r="P10" s="23">
        <v>20</v>
      </c>
      <c r="Q10" s="23">
        <v>5</v>
      </c>
      <c r="R10" s="23">
        <v>6</v>
      </c>
      <c r="S10" s="23">
        <v>4</v>
      </c>
      <c r="T10" s="23">
        <v>1</v>
      </c>
      <c r="U10" s="23">
        <v>20</v>
      </c>
      <c r="V10" s="19" t="s">
        <v>67</v>
      </c>
      <c r="W10" s="20">
        <v>205</v>
      </c>
      <c r="X10" s="27" cm="1">
        <f t="array" ref="X10">SUMPRODUCT(B10:U10, TRANSPOSE($B$14:$B$33))</f>
        <v>177</v>
      </c>
    </row>
    <row r="11" spans="1:24" x14ac:dyDescent="0.3">
      <c r="A11" s="18" t="s">
        <v>41</v>
      </c>
      <c r="B11" s="19">
        <v>3</v>
      </c>
      <c r="C11" s="19">
        <v>6</v>
      </c>
      <c r="D11" s="19">
        <v>9</v>
      </c>
      <c r="E11" s="19">
        <v>30</v>
      </c>
      <c r="F11" s="19">
        <v>29</v>
      </c>
      <c r="G11" s="19">
        <v>20</v>
      </c>
      <c r="H11" s="19">
        <v>12</v>
      </c>
      <c r="I11" s="19">
        <v>12</v>
      </c>
      <c r="J11" s="19">
        <v>10</v>
      </c>
      <c r="K11" s="19">
        <v>30</v>
      </c>
      <c r="L11" s="19">
        <v>42</v>
      </c>
      <c r="M11" s="19">
        <v>18</v>
      </c>
      <c r="N11" s="19">
        <v>18</v>
      </c>
      <c r="O11" s="19">
        <v>110</v>
      </c>
      <c r="P11" s="19">
        <v>20</v>
      </c>
      <c r="Q11" s="19">
        <v>15</v>
      </c>
      <c r="R11" s="19">
        <v>18</v>
      </c>
      <c r="S11" s="19">
        <v>7</v>
      </c>
      <c r="T11" s="19">
        <v>2</v>
      </c>
      <c r="U11" s="19">
        <v>40</v>
      </c>
      <c r="V11" s="19" t="s">
        <v>67</v>
      </c>
      <c r="W11" s="20">
        <v>260</v>
      </c>
      <c r="X11" s="27" cm="1">
        <f t="array" ref="X11">SUMPRODUCT(B11:U11, TRANSPOSE($B$14:$B$33))</f>
        <v>245</v>
      </c>
    </row>
    <row r="12" spans="1:24" x14ac:dyDescent="0.3">
      <c r="A12" s="22" t="s">
        <v>42</v>
      </c>
      <c r="B12" s="23">
        <v>3</v>
      </c>
      <c r="C12" s="23">
        <v>8</v>
      </c>
      <c r="D12" s="23">
        <v>9</v>
      </c>
      <c r="E12" s="23">
        <v>35</v>
      </c>
      <c r="F12" s="23">
        <v>29</v>
      </c>
      <c r="G12" s="23">
        <v>20</v>
      </c>
      <c r="H12" s="23">
        <v>16</v>
      </c>
      <c r="I12" s="23">
        <v>15</v>
      </c>
      <c r="J12" s="23">
        <v>10</v>
      </c>
      <c r="K12" s="23">
        <v>30</v>
      </c>
      <c r="L12" s="23">
        <v>42</v>
      </c>
      <c r="M12" s="23">
        <v>20</v>
      </c>
      <c r="N12" s="23">
        <v>18</v>
      </c>
      <c r="O12" s="23">
        <v>120</v>
      </c>
      <c r="P12" s="23">
        <v>20</v>
      </c>
      <c r="Q12" s="23">
        <v>20</v>
      </c>
      <c r="R12" s="23">
        <v>22</v>
      </c>
      <c r="S12" s="23">
        <v>7</v>
      </c>
      <c r="T12" s="23">
        <v>3</v>
      </c>
      <c r="U12" s="23">
        <v>50</v>
      </c>
      <c r="V12" s="19" t="s">
        <v>67</v>
      </c>
      <c r="W12" s="20">
        <v>275</v>
      </c>
      <c r="X12" s="27" cm="1">
        <f t="array" ref="X12">SUMPRODUCT(B12:U12, TRANSPOSE($B$14:$B$33))</f>
        <v>275</v>
      </c>
    </row>
    <row r="14" spans="1:24" x14ac:dyDescent="0.3">
      <c r="A14" s="25" t="s">
        <v>3</v>
      </c>
      <c r="B14">
        <v>1</v>
      </c>
    </row>
    <row r="15" spans="1:24" x14ac:dyDescent="0.3">
      <c r="A15" s="25" t="s">
        <v>4</v>
      </c>
      <c r="B15">
        <v>0</v>
      </c>
    </row>
    <row r="16" spans="1:24" x14ac:dyDescent="0.3">
      <c r="A16" s="25" t="s">
        <v>5</v>
      </c>
      <c r="B16">
        <v>0</v>
      </c>
    </row>
    <row r="17" spans="1:2" x14ac:dyDescent="0.3">
      <c r="A17" s="25" t="s">
        <v>6</v>
      </c>
      <c r="B17">
        <v>0</v>
      </c>
    </row>
    <row r="18" spans="1:2" x14ac:dyDescent="0.3">
      <c r="A18" s="25" t="s">
        <v>7</v>
      </c>
      <c r="B18">
        <v>0</v>
      </c>
    </row>
    <row r="19" spans="1:2" x14ac:dyDescent="0.3">
      <c r="A19" s="25" t="s">
        <v>8</v>
      </c>
      <c r="B19">
        <v>0</v>
      </c>
    </row>
    <row r="20" spans="1:2" x14ac:dyDescent="0.3">
      <c r="A20" s="25" t="s">
        <v>9</v>
      </c>
      <c r="B20">
        <v>0</v>
      </c>
    </row>
    <row r="21" spans="1:2" x14ac:dyDescent="0.3">
      <c r="A21" s="25" t="s">
        <v>10</v>
      </c>
      <c r="B21">
        <v>0</v>
      </c>
    </row>
    <row r="22" spans="1:2" x14ac:dyDescent="0.3">
      <c r="A22" s="25" t="s">
        <v>11</v>
      </c>
      <c r="B22">
        <v>0</v>
      </c>
    </row>
    <row r="23" spans="1:2" x14ac:dyDescent="0.3">
      <c r="A23" s="25" t="s">
        <v>12</v>
      </c>
      <c r="B23">
        <v>1</v>
      </c>
    </row>
    <row r="24" spans="1:2" x14ac:dyDescent="0.3">
      <c r="A24" s="25" t="s">
        <v>13</v>
      </c>
      <c r="B24">
        <v>0</v>
      </c>
    </row>
    <row r="25" spans="1:2" x14ac:dyDescent="0.3">
      <c r="A25" s="25" t="s">
        <v>14</v>
      </c>
      <c r="B25">
        <v>0</v>
      </c>
    </row>
    <row r="26" spans="1:2" x14ac:dyDescent="0.3">
      <c r="A26" s="25" t="s">
        <v>15</v>
      </c>
      <c r="B26">
        <v>0</v>
      </c>
    </row>
    <row r="27" spans="1:2" x14ac:dyDescent="0.3">
      <c r="A27" s="25" t="s">
        <v>16</v>
      </c>
      <c r="B27">
        <v>1</v>
      </c>
    </row>
    <row r="28" spans="1:2" x14ac:dyDescent="0.3">
      <c r="A28" s="25" t="s">
        <v>17</v>
      </c>
      <c r="B28">
        <v>1</v>
      </c>
    </row>
    <row r="29" spans="1:2" x14ac:dyDescent="0.3">
      <c r="A29" s="25" t="s">
        <v>18</v>
      </c>
      <c r="B29">
        <v>1</v>
      </c>
    </row>
    <row r="30" spans="1:2" x14ac:dyDescent="0.3">
      <c r="A30" s="25" t="s">
        <v>19</v>
      </c>
      <c r="B30">
        <v>1</v>
      </c>
    </row>
    <row r="31" spans="1:2" x14ac:dyDescent="0.3">
      <c r="A31" s="25" t="s">
        <v>20</v>
      </c>
      <c r="B31">
        <v>1</v>
      </c>
    </row>
    <row r="32" spans="1:2" x14ac:dyDescent="0.3">
      <c r="A32" s="25" t="s">
        <v>21</v>
      </c>
      <c r="B32">
        <v>1</v>
      </c>
    </row>
    <row r="33" spans="1:2" x14ac:dyDescent="0.3">
      <c r="A33" s="25" t="s">
        <v>22</v>
      </c>
      <c r="B33">
        <v>1</v>
      </c>
    </row>
    <row r="35" spans="1:2" x14ac:dyDescent="0.3">
      <c r="A35" s="34" t="s">
        <v>91</v>
      </c>
      <c r="B35" s="35" cm="1">
        <f t="array" ref="B35">SUMPRODUCT(B2:U2, TRANSPOSE(B14:B33))</f>
        <v>6120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6436-0D00-4282-BC31-0753B79FF9BF}">
  <dimension ref="A1:AG46"/>
  <sheetViews>
    <sheetView workbookViewId="0">
      <selection activeCell="C46" sqref="C46"/>
    </sheetView>
  </sheetViews>
  <sheetFormatPr defaultRowHeight="14.4" x14ac:dyDescent="0.3"/>
  <cols>
    <col min="30" max="30" width="11.33203125" bestFit="1" customWidth="1"/>
  </cols>
  <sheetData>
    <row r="1" spans="1:3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3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3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</row>
    <row r="4" spans="1:33" x14ac:dyDescent="0.3">
      <c r="A4" s="5" t="s">
        <v>32</v>
      </c>
      <c r="B4" s="6">
        <v>100</v>
      </c>
      <c r="C4" s="6">
        <v>220</v>
      </c>
      <c r="D4" s="6">
        <v>90</v>
      </c>
      <c r="E4" s="6">
        <v>400</v>
      </c>
      <c r="F4" s="6">
        <v>300</v>
      </c>
      <c r="G4" s="6">
        <v>400</v>
      </c>
      <c r="H4" s="6">
        <v>205</v>
      </c>
      <c r="I4" s="6">
        <v>120</v>
      </c>
      <c r="J4" s="6">
        <v>160</v>
      </c>
      <c r="K4" s="6">
        <v>580</v>
      </c>
      <c r="L4" s="6">
        <v>400</v>
      </c>
      <c r="M4" s="6">
        <v>140</v>
      </c>
      <c r="N4" s="6">
        <v>100</v>
      </c>
      <c r="O4" s="6">
        <v>1300</v>
      </c>
      <c r="P4" s="6">
        <v>650</v>
      </c>
      <c r="Q4" s="6">
        <v>320</v>
      </c>
      <c r="R4" s="6">
        <v>480</v>
      </c>
      <c r="S4" s="6">
        <v>80</v>
      </c>
      <c r="T4" s="6">
        <v>60</v>
      </c>
      <c r="U4" s="6">
        <v>2550</v>
      </c>
      <c r="V4" s="6">
        <v>3100</v>
      </c>
      <c r="W4" s="6">
        <v>1100</v>
      </c>
      <c r="X4" s="6">
        <v>950</v>
      </c>
      <c r="Y4" s="6">
        <v>450</v>
      </c>
      <c r="Z4" s="6">
        <v>300</v>
      </c>
      <c r="AA4" s="6">
        <v>220</v>
      </c>
      <c r="AB4" s="6">
        <v>200</v>
      </c>
      <c r="AC4" s="6">
        <v>520</v>
      </c>
      <c r="AD4" s="7"/>
    </row>
    <row r="5" spans="1:33" x14ac:dyDescent="0.3">
      <c r="A5" s="8" t="s">
        <v>33</v>
      </c>
      <c r="B5" s="9">
        <v>8</v>
      </c>
      <c r="C5" s="9">
        <v>24</v>
      </c>
      <c r="D5" s="9">
        <v>13</v>
      </c>
      <c r="E5" s="9">
        <v>80</v>
      </c>
      <c r="F5" s="9">
        <v>70</v>
      </c>
      <c r="G5" s="9">
        <v>80</v>
      </c>
      <c r="H5" s="9">
        <v>45</v>
      </c>
      <c r="I5" s="9">
        <v>15</v>
      </c>
      <c r="J5" s="9">
        <v>28</v>
      </c>
      <c r="K5" s="9">
        <v>90</v>
      </c>
      <c r="L5" s="9">
        <v>130</v>
      </c>
      <c r="M5" s="9">
        <v>32</v>
      </c>
      <c r="N5" s="9">
        <v>20</v>
      </c>
      <c r="O5" s="9">
        <v>120</v>
      </c>
      <c r="P5" s="9">
        <v>40</v>
      </c>
      <c r="Q5" s="9">
        <v>30</v>
      </c>
      <c r="R5" s="9">
        <v>20</v>
      </c>
      <c r="S5" s="9">
        <v>6</v>
      </c>
      <c r="T5" s="9">
        <v>3</v>
      </c>
      <c r="U5" s="9">
        <v>180</v>
      </c>
      <c r="V5" s="9">
        <v>220</v>
      </c>
      <c r="W5" s="9">
        <v>50</v>
      </c>
      <c r="X5" s="9">
        <v>30</v>
      </c>
      <c r="Y5" s="9">
        <v>50</v>
      </c>
      <c r="Z5" s="9">
        <v>12</v>
      </c>
      <c r="AA5" s="9">
        <v>5</v>
      </c>
      <c r="AB5" s="9">
        <v>8</v>
      </c>
      <c r="AC5" s="9">
        <v>18</v>
      </c>
      <c r="AD5" s="10">
        <v>930</v>
      </c>
      <c r="AE5" cm="1">
        <f t="array" ref="AE5">SUMPRODUCT(B5:AC5,TRANSPOSE($B$18:$B$45))</f>
        <v>828.75</v>
      </c>
      <c r="AF5" cm="1">
        <f t="array" ref="AF5">SUMPRODUCT(B5:AC5,TRANSPOSE($C$18:$C$45))</f>
        <v>822</v>
      </c>
      <c r="AG5" t="str">
        <f>IF(AD5&gt;=AF5,"f","nf")</f>
        <v>f</v>
      </c>
    </row>
    <row r="6" spans="1:33" x14ac:dyDescent="0.3">
      <c r="A6" s="11" t="s">
        <v>34</v>
      </c>
      <c r="B6" s="12">
        <v>8</v>
      </c>
      <c r="C6" s="12">
        <v>44</v>
      </c>
      <c r="D6" s="12">
        <v>13</v>
      </c>
      <c r="E6" s="12">
        <v>100</v>
      </c>
      <c r="F6" s="12">
        <v>100</v>
      </c>
      <c r="G6" s="12">
        <v>90</v>
      </c>
      <c r="H6" s="12">
        <v>75</v>
      </c>
      <c r="I6" s="12">
        <v>25</v>
      </c>
      <c r="J6" s="12">
        <v>28</v>
      </c>
      <c r="K6" s="12">
        <v>120</v>
      </c>
      <c r="L6" s="12">
        <v>130</v>
      </c>
      <c r="M6" s="12">
        <v>32</v>
      </c>
      <c r="N6" s="12">
        <v>40</v>
      </c>
      <c r="O6" s="12">
        <v>160</v>
      </c>
      <c r="P6" s="12">
        <v>40</v>
      </c>
      <c r="Q6" s="12">
        <v>60</v>
      </c>
      <c r="R6" s="12">
        <v>55</v>
      </c>
      <c r="S6" s="12">
        <v>10</v>
      </c>
      <c r="T6" s="12">
        <v>6</v>
      </c>
      <c r="U6" s="12">
        <v>240</v>
      </c>
      <c r="V6" s="12">
        <v>290</v>
      </c>
      <c r="W6" s="12">
        <v>80</v>
      </c>
      <c r="X6" s="12">
        <v>90</v>
      </c>
      <c r="Y6" s="12">
        <v>70</v>
      </c>
      <c r="Z6" s="12">
        <v>27</v>
      </c>
      <c r="AA6" s="12">
        <v>17</v>
      </c>
      <c r="AB6" s="12">
        <v>8</v>
      </c>
      <c r="AC6" s="12">
        <v>28</v>
      </c>
      <c r="AD6" s="10">
        <v>1210</v>
      </c>
      <c r="AE6" cm="1">
        <f t="array" ref="AE6">SUMPRODUCT(B6:AC6,TRANSPOSE($B$18:$B$45))</f>
        <v>1210</v>
      </c>
      <c r="AF6" cm="1">
        <f t="array" ref="AF6">SUMPRODUCT(B6:AC6,TRANSPOSE($C$18:$C$45))</f>
        <v>1201</v>
      </c>
      <c r="AG6" t="str">
        <f t="shared" ref="AG6:AG14" si="0">IF(AD6&gt;=AF6,"f","nf")</f>
        <v>f</v>
      </c>
    </row>
    <row r="7" spans="1:33" x14ac:dyDescent="0.3">
      <c r="A7" s="8" t="s">
        <v>35</v>
      </c>
      <c r="B7" s="9">
        <v>3</v>
      </c>
      <c r="C7" s="9">
        <v>6</v>
      </c>
      <c r="D7" s="9">
        <v>4</v>
      </c>
      <c r="E7" s="9">
        <v>20</v>
      </c>
      <c r="F7" s="9">
        <v>20</v>
      </c>
      <c r="G7" s="9">
        <v>30</v>
      </c>
      <c r="H7" s="9">
        <v>8</v>
      </c>
      <c r="I7" s="9">
        <v>3</v>
      </c>
      <c r="J7" s="9">
        <v>12</v>
      </c>
      <c r="K7" s="9">
        <v>14</v>
      </c>
      <c r="L7" s="9">
        <v>40</v>
      </c>
      <c r="M7" s="9">
        <v>6</v>
      </c>
      <c r="N7" s="9">
        <v>3</v>
      </c>
      <c r="O7" s="9">
        <v>20</v>
      </c>
      <c r="P7" s="9">
        <v>5</v>
      </c>
      <c r="Q7" s="9">
        <v>0</v>
      </c>
      <c r="R7" s="9">
        <v>5</v>
      </c>
      <c r="S7" s="9">
        <v>3</v>
      </c>
      <c r="T7" s="9">
        <v>0</v>
      </c>
      <c r="U7" s="9">
        <v>20</v>
      </c>
      <c r="V7" s="9">
        <v>30</v>
      </c>
      <c r="W7" s="9">
        <v>40</v>
      </c>
      <c r="X7" s="9">
        <v>10</v>
      </c>
      <c r="Y7" s="9">
        <v>0</v>
      </c>
      <c r="Z7" s="9">
        <v>5</v>
      </c>
      <c r="AA7" s="9">
        <v>0</v>
      </c>
      <c r="AB7" s="9">
        <v>0</v>
      </c>
      <c r="AC7" s="9">
        <v>10</v>
      </c>
      <c r="AD7" s="10">
        <v>272</v>
      </c>
      <c r="AE7" cm="1">
        <f t="array" ref="AE7">SUMPRODUCT(B7:AC7,TRANSPOSE($B$18:$B$45))</f>
        <v>169.99583333333334</v>
      </c>
      <c r="AF7" cm="1">
        <f t="array" ref="AF7">SUMPRODUCT(B7:AC7,TRANSPOSE($C$18:$C$45))</f>
        <v>169</v>
      </c>
      <c r="AG7" t="str">
        <f t="shared" si="0"/>
        <v>f</v>
      </c>
    </row>
    <row r="8" spans="1:33" x14ac:dyDescent="0.3">
      <c r="A8" s="11" t="s">
        <v>36</v>
      </c>
      <c r="B8" s="12">
        <v>5</v>
      </c>
      <c r="C8" s="12">
        <v>9</v>
      </c>
      <c r="D8" s="12">
        <v>6</v>
      </c>
      <c r="E8" s="12">
        <v>40</v>
      </c>
      <c r="F8" s="12">
        <v>30</v>
      </c>
      <c r="G8" s="12">
        <v>40</v>
      </c>
      <c r="H8" s="12">
        <v>16</v>
      </c>
      <c r="I8" s="12">
        <v>5</v>
      </c>
      <c r="J8" s="12">
        <v>18</v>
      </c>
      <c r="K8" s="12">
        <v>24</v>
      </c>
      <c r="L8" s="12">
        <v>60</v>
      </c>
      <c r="M8" s="12">
        <v>16</v>
      </c>
      <c r="N8" s="12">
        <v>11</v>
      </c>
      <c r="O8" s="12">
        <v>30</v>
      </c>
      <c r="P8" s="12">
        <v>25</v>
      </c>
      <c r="Q8" s="12">
        <v>10</v>
      </c>
      <c r="R8" s="12">
        <v>13</v>
      </c>
      <c r="S8" s="12">
        <v>5</v>
      </c>
      <c r="T8" s="12">
        <v>1</v>
      </c>
      <c r="U8" s="12">
        <v>80</v>
      </c>
      <c r="V8" s="12">
        <v>60</v>
      </c>
      <c r="W8" s="12">
        <v>50</v>
      </c>
      <c r="X8" s="12">
        <v>20</v>
      </c>
      <c r="Y8" s="12">
        <v>30</v>
      </c>
      <c r="Z8" s="12">
        <v>10</v>
      </c>
      <c r="AA8" s="12">
        <v>5</v>
      </c>
      <c r="AB8" s="12">
        <v>3</v>
      </c>
      <c r="AC8" s="12">
        <v>20</v>
      </c>
      <c r="AD8" s="10">
        <v>462</v>
      </c>
      <c r="AE8" cm="1">
        <f t="array" ref="AE8">SUMPRODUCT(B8:AC8,TRANSPOSE($B$18:$B$45))</f>
        <v>385.88125000000002</v>
      </c>
      <c r="AF8" cm="1">
        <f t="array" ref="AF8">SUMPRODUCT(B8:AC8,TRANSPOSE($C$18:$C$45))</f>
        <v>384</v>
      </c>
      <c r="AG8" t="str">
        <f t="shared" si="0"/>
        <v>f</v>
      </c>
    </row>
    <row r="9" spans="1:33" x14ac:dyDescent="0.3">
      <c r="A9" s="8" t="s">
        <v>37</v>
      </c>
      <c r="B9" s="9">
        <v>5</v>
      </c>
      <c r="C9" s="9">
        <v>11</v>
      </c>
      <c r="D9" s="9">
        <v>7</v>
      </c>
      <c r="E9" s="9">
        <v>50</v>
      </c>
      <c r="F9" s="9">
        <v>40</v>
      </c>
      <c r="G9" s="9">
        <v>40</v>
      </c>
      <c r="H9" s="9">
        <v>19</v>
      </c>
      <c r="I9" s="9">
        <v>7</v>
      </c>
      <c r="J9" s="9">
        <v>18</v>
      </c>
      <c r="K9" s="9">
        <v>29</v>
      </c>
      <c r="L9" s="9">
        <v>70</v>
      </c>
      <c r="M9" s="9">
        <v>21</v>
      </c>
      <c r="N9" s="9">
        <v>17</v>
      </c>
      <c r="O9" s="9">
        <v>30</v>
      </c>
      <c r="P9" s="9">
        <v>25</v>
      </c>
      <c r="Q9" s="9">
        <v>15</v>
      </c>
      <c r="R9" s="9">
        <v>25</v>
      </c>
      <c r="S9" s="9">
        <v>5</v>
      </c>
      <c r="T9" s="9">
        <v>1</v>
      </c>
      <c r="U9" s="9">
        <v>100</v>
      </c>
      <c r="V9" s="9">
        <v>70</v>
      </c>
      <c r="W9" s="9">
        <v>55</v>
      </c>
      <c r="X9" s="9">
        <v>20</v>
      </c>
      <c r="Y9" s="9">
        <v>50</v>
      </c>
      <c r="Z9" s="9">
        <v>15</v>
      </c>
      <c r="AA9" s="9">
        <v>15</v>
      </c>
      <c r="AB9" s="9">
        <v>6</v>
      </c>
      <c r="AC9" s="9">
        <v>20</v>
      </c>
      <c r="AD9" s="10">
        <v>532</v>
      </c>
      <c r="AE9" cm="1">
        <f t="array" ref="AE9">SUMPRODUCT(B9:AC9,TRANSPOSE($B$18:$B$45))</f>
        <v>473.52708333333334</v>
      </c>
      <c r="AF9" cm="1">
        <f t="array" ref="AF9">SUMPRODUCT(B9:AC9,TRANSPOSE($C$18:$C$45))</f>
        <v>471</v>
      </c>
      <c r="AG9" t="str">
        <f t="shared" si="0"/>
        <v>f</v>
      </c>
    </row>
    <row r="10" spans="1:33" x14ac:dyDescent="0.3">
      <c r="A10" s="11" t="s">
        <v>38</v>
      </c>
      <c r="B10" s="12">
        <v>5</v>
      </c>
      <c r="C10" s="12">
        <v>11</v>
      </c>
      <c r="D10" s="12">
        <v>7</v>
      </c>
      <c r="E10" s="12">
        <v>55</v>
      </c>
      <c r="F10" s="12">
        <v>40</v>
      </c>
      <c r="G10" s="12">
        <v>40</v>
      </c>
      <c r="H10" s="12">
        <v>21</v>
      </c>
      <c r="I10" s="12">
        <v>9</v>
      </c>
      <c r="J10" s="12">
        <v>18</v>
      </c>
      <c r="K10" s="12">
        <v>29</v>
      </c>
      <c r="L10" s="12">
        <v>70</v>
      </c>
      <c r="M10" s="12">
        <v>21</v>
      </c>
      <c r="N10" s="12">
        <v>17</v>
      </c>
      <c r="O10" s="12">
        <v>35</v>
      </c>
      <c r="P10" s="12">
        <v>25</v>
      </c>
      <c r="Q10" s="12">
        <v>20</v>
      </c>
      <c r="R10" s="12">
        <v>25</v>
      </c>
      <c r="S10" s="12">
        <v>5</v>
      </c>
      <c r="T10" s="12">
        <v>2</v>
      </c>
      <c r="U10" s="12">
        <v>110</v>
      </c>
      <c r="V10" s="12">
        <v>70</v>
      </c>
      <c r="W10" s="12">
        <v>55</v>
      </c>
      <c r="X10" s="12">
        <v>20</v>
      </c>
      <c r="Y10" s="12">
        <v>50</v>
      </c>
      <c r="Z10" s="12">
        <v>20</v>
      </c>
      <c r="AA10" s="12">
        <v>15</v>
      </c>
      <c r="AB10" s="12">
        <v>6</v>
      </c>
      <c r="AC10" s="12">
        <v>20</v>
      </c>
      <c r="AD10" s="10">
        <v>572</v>
      </c>
      <c r="AE10" cm="1">
        <f t="array" ref="AE10">SUMPRODUCT(B10:AC10,TRANSPOSE($B$18:$B$45))</f>
        <v>494.32395833333334</v>
      </c>
      <c r="AF10" cm="1">
        <f t="array" ref="AF10">SUMPRODUCT(B10:AC10,TRANSPOSE($C$18:$C$45))</f>
        <v>492</v>
      </c>
      <c r="AG10" t="str">
        <f t="shared" si="0"/>
        <v>f</v>
      </c>
    </row>
    <row r="11" spans="1:33" x14ac:dyDescent="0.3">
      <c r="A11" s="8" t="s">
        <v>39</v>
      </c>
      <c r="B11" s="9">
        <v>0</v>
      </c>
      <c r="C11" s="9">
        <v>0</v>
      </c>
      <c r="D11" s="9">
        <v>1</v>
      </c>
      <c r="E11" s="9">
        <v>10</v>
      </c>
      <c r="F11" s="9">
        <v>4</v>
      </c>
      <c r="G11" s="9">
        <v>10</v>
      </c>
      <c r="H11" s="9">
        <v>0</v>
      </c>
      <c r="I11" s="9">
        <v>6</v>
      </c>
      <c r="J11" s="9">
        <v>0</v>
      </c>
      <c r="K11" s="9">
        <v>6</v>
      </c>
      <c r="L11" s="9">
        <v>32</v>
      </c>
      <c r="M11" s="9">
        <v>3</v>
      </c>
      <c r="N11" s="9">
        <v>0</v>
      </c>
      <c r="O11" s="9">
        <v>70</v>
      </c>
      <c r="P11" s="9">
        <v>10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30</v>
      </c>
      <c r="W11" s="9">
        <v>10</v>
      </c>
      <c r="X11" s="9">
        <v>0</v>
      </c>
      <c r="Y11" s="9">
        <v>10</v>
      </c>
      <c r="Z11" s="9">
        <v>10</v>
      </c>
      <c r="AA11" s="9">
        <v>5</v>
      </c>
      <c r="AB11" s="9">
        <v>0</v>
      </c>
      <c r="AC11" s="9">
        <v>10</v>
      </c>
      <c r="AD11" s="10">
        <v>240</v>
      </c>
      <c r="AE11" cm="1">
        <f t="array" ref="AE11">SUMPRODUCT(B11:AC11,TRANSPOSE($B$18:$B$45))</f>
        <v>152.93124999999998</v>
      </c>
      <c r="AF11" cm="1">
        <f t="array" ref="AF11">SUMPRODUCT(B11:AC11,TRANSPOSE($C$18:$C$45))</f>
        <v>155</v>
      </c>
      <c r="AG11" t="str">
        <f t="shared" si="0"/>
        <v>f</v>
      </c>
    </row>
    <row r="12" spans="1:33" x14ac:dyDescent="0.3">
      <c r="A12" s="11" t="s">
        <v>40</v>
      </c>
      <c r="B12" s="12">
        <v>3</v>
      </c>
      <c r="C12" s="12">
        <v>4</v>
      </c>
      <c r="D12" s="12">
        <v>5</v>
      </c>
      <c r="E12" s="12">
        <v>20</v>
      </c>
      <c r="F12" s="12">
        <v>14</v>
      </c>
      <c r="G12" s="12">
        <v>20</v>
      </c>
      <c r="H12" s="12">
        <v>6</v>
      </c>
      <c r="I12" s="12">
        <v>12</v>
      </c>
      <c r="J12" s="12">
        <v>10</v>
      </c>
      <c r="K12" s="12">
        <v>18</v>
      </c>
      <c r="L12" s="12">
        <v>42</v>
      </c>
      <c r="M12" s="12">
        <v>9</v>
      </c>
      <c r="N12" s="12">
        <v>12</v>
      </c>
      <c r="O12" s="12">
        <v>100</v>
      </c>
      <c r="P12" s="12">
        <v>20</v>
      </c>
      <c r="Q12" s="12">
        <v>5</v>
      </c>
      <c r="R12" s="12">
        <v>6</v>
      </c>
      <c r="S12" s="12">
        <v>4</v>
      </c>
      <c r="T12" s="12">
        <v>1</v>
      </c>
      <c r="U12" s="12">
        <v>20</v>
      </c>
      <c r="V12" s="12">
        <v>50</v>
      </c>
      <c r="W12" s="12">
        <v>30</v>
      </c>
      <c r="X12" s="12">
        <v>5</v>
      </c>
      <c r="Y12" s="12">
        <v>20</v>
      </c>
      <c r="Z12" s="12">
        <v>20</v>
      </c>
      <c r="AA12" s="12">
        <v>10</v>
      </c>
      <c r="AB12" s="12">
        <v>10</v>
      </c>
      <c r="AC12" s="12">
        <v>20</v>
      </c>
      <c r="AD12" s="10">
        <v>400</v>
      </c>
      <c r="AE12" cm="1">
        <f t="array" ref="AE12">SUMPRODUCT(B12:AC12,TRANSPOSE($B$18:$B$45))</f>
        <v>331.26249999999999</v>
      </c>
      <c r="AF12" cm="1">
        <f t="array" ref="AF12">SUMPRODUCT(B12:AC12,TRANSPOSE($C$18:$C$45))</f>
        <v>333</v>
      </c>
      <c r="AG12" t="str">
        <f t="shared" si="0"/>
        <v>f</v>
      </c>
    </row>
    <row r="13" spans="1:33" x14ac:dyDescent="0.3">
      <c r="A13" s="8" t="s">
        <v>41</v>
      </c>
      <c r="B13" s="9">
        <v>3</v>
      </c>
      <c r="C13" s="9">
        <v>6</v>
      </c>
      <c r="D13" s="9">
        <v>9</v>
      </c>
      <c r="E13" s="9">
        <v>30</v>
      </c>
      <c r="F13" s="9">
        <v>29</v>
      </c>
      <c r="G13" s="9">
        <v>20</v>
      </c>
      <c r="H13" s="9">
        <v>12</v>
      </c>
      <c r="I13" s="9">
        <v>12</v>
      </c>
      <c r="J13" s="9">
        <v>10</v>
      </c>
      <c r="K13" s="9">
        <v>30</v>
      </c>
      <c r="L13" s="9">
        <v>42</v>
      </c>
      <c r="M13" s="9">
        <v>18</v>
      </c>
      <c r="N13" s="9">
        <v>18</v>
      </c>
      <c r="O13" s="9">
        <v>110</v>
      </c>
      <c r="P13" s="9">
        <v>20</v>
      </c>
      <c r="Q13" s="9">
        <v>15</v>
      </c>
      <c r="R13" s="9">
        <v>18</v>
      </c>
      <c r="S13" s="9">
        <v>7</v>
      </c>
      <c r="T13" s="9">
        <v>2</v>
      </c>
      <c r="U13" s="9">
        <v>40</v>
      </c>
      <c r="V13" s="9">
        <v>60</v>
      </c>
      <c r="W13" s="9">
        <v>50</v>
      </c>
      <c r="X13" s="9">
        <v>25</v>
      </c>
      <c r="Y13" s="9">
        <v>25</v>
      </c>
      <c r="Z13" s="9">
        <v>25</v>
      </c>
      <c r="AA13" s="9">
        <v>15</v>
      </c>
      <c r="AB13" s="9">
        <v>10</v>
      </c>
      <c r="AC13" s="9">
        <v>28</v>
      </c>
      <c r="AD13" s="10">
        <v>470</v>
      </c>
      <c r="AE13" cm="1">
        <f t="array" ref="AE13">SUMPRODUCT(B13:AC13,TRANSPOSE($B$18:$B$45))</f>
        <v>453.40625</v>
      </c>
      <c r="AF13" cm="1">
        <f t="array" ref="AF13">SUMPRODUCT(B13:AC13,TRANSPOSE($C$18:$C$45))</f>
        <v>454</v>
      </c>
      <c r="AG13" t="str">
        <f t="shared" si="0"/>
        <v>f</v>
      </c>
    </row>
    <row r="14" spans="1:33" x14ac:dyDescent="0.3">
      <c r="A14" s="11" t="s">
        <v>42</v>
      </c>
      <c r="B14" s="12">
        <v>3</v>
      </c>
      <c r="C14" s="12">
        <v>8</v>
      </c>
      <c r="D14" s="12">
        <v>9</v>
      </c>
      <c r="E14" s="12">
        <v>35</v>
      </c>
      <c r="F14" s="12">
        <v>29</v>
      </c>
      <c r="G14" s="12">
        <v>20</v>
      </c>
      <c r="H14" s="12">
        <v>16</v>
      </c>
      <c r="I14" s="12">
        <v>15</v>
      </c>
      <c r="J14" s="12">
        <v>10</v>
      </c>
      <c r="K14" s="12">
        <v>30</v>
      </c>
      <c r="L14" s="12">
        <v>42</v>
      </c>
      <c r="M14" s="12">
        <v>20</v>
      </c>
      <c r="N14" s="12">
        <v>18</v>
      </c>
      <c r="O14" s="12">
        <v>120</v>
      </c>
      <c r="P14" s="12">
        <v>20</v>
      </c>
      <c r="Q14" s="12">
        <v>20</v>
      </c>
      <c r="R14" s="12">
        <v>22</v>
      </c>
      <c r="S14" s="12">
        <v>7</v>
      </c>
      <c r="T14" s="12">
        <v>3</v>
      </c>
      <c r="U14" s="12">
        <v>50</v>
      </c>
      <c r="V14" s="12">
        <v>60</v>
      </c>
      <c r="W14" s="12">
        <v>55</v>
      </c>
      <c r="X14" s="12">
        <v>25</v>
      </c>
      <c r="Y14" s="12">
        <v>30</v>
      </c>
      <c r="Z14" s="12">
        <v>25</v>
      </c>
      <c r="AA14" s="12">
        <v>15</v>
      </c>
      <c r="AB14" s="12">
        <v>10</v>
      </c>
      <c r="AC14" s="12">
        <v>28</v>
      </c>
      <c r="AD14" s="10">
        <v>490</v>
      </c>
      <c r="AE14" cm="1">
        <f t="array" ref="AE14">SUMPRODUCT(B14:AC14,TRANSPOSE($B$18:$B$45))</f>
        <v>490</v>
      </c>
      <c r="AF14" cm="1">
        <f t="array" ref="AF14">SUMPRODUCT(B14:AC14,TRANSPOSE($C$18:$C$45))</f>
        <v>491</v>
      </c>
      <c r="AG14" t="str">
        <f t="shared" si="0"/>
        <v>nf</v>
      </c>
    </row>
    <row r="18" spans="1:3" x14ac:dyDescent="0.3">
      <c r="A18" t="s">
        <v>3</v>
      </c>
      <c r="B18">
        <v>1</v>
      </c>
      <c r="C18">
        <f>ROUND(B18,0)</f>
        <v>1</v>
      </c>
    </row>
    <row r="19" spans="1:3" x14ac:dyDescent="0.3">
      <c r="A19" t="s">
        <v>4</v>
      </c>
      <c r="B19">
        <v>1</v>
      </c>
      <c r="C19">
        <f t="shared" ref="C19:C45" si="1">ROUND(B19,0)</f>
        <v>1</v>
      </c>
    </row>
    <row r="20" spans="1:3" x14ac:dyDescent="0.3">
      <c r="A20" t="s">
        <v>5</v>
      </c>
      <c r="B20">
        <v>0</v>
      </c>
      <c r="C20">
        <f t="shared" si="1"/>
        <v>0</v>
      </c>
    </row>
    <row r="21" spans="1:3" x14ac:dyDescent="0.3">
      <c r="A21" t="s">
        <v>6</v>
      </c>
      <c r="B21">
        <v>0</v>
      </c>
      <c r="C21">
        <f t="shared" si="1"/>
        <v>0</v>
      </c>
    </row>
    <row r="22" spans="1:3" x14ac:dyDescent="0.3">
      <c r="A22" t="s">
        <v>7</v>
      </c>
      <c r="B22">
        <v>0</v>
      </c>
      <c r="C22">
        <f t="shared" si="1"/>
        <v>0</v>
      </c>
    </row>
    <row r="23" spans="1:3" x14ac:dyDescent="0.3">
      <c r="A23" t="s">
        <v>8</v>
      </c>
      <c r="B23">
        <v>0</v>
      </c>
      <c r="C23">
        <f t="shared" si="1"/>
        <v>0</v>
      </c>
    </row>
    <row r="24" spans="1:3" x14ac:dyDescent="0.3">
      <c r="A24" t="s">
        <v>9</v>
      </c>
      <c r="B24">
        <v>0</v>
      </c>
      <c r="C24">
        <f t="shared" si="1"/>
        <v>0</v>
      </c>
    </row>
    <row r="25" spans="1:3" x14ac:dyDescent="0.3">
      <c r="A25" t="s">
        <v>10</v>
      </c>
      <c r="B25">
        <v>0</v>
      </c>
      <c r="C25">
        <f t="shared" si="1"/>
        <v>0</v>
      </c>
    </row>
    <row r="26" spans="1:3" x14ac:dyDescent="0.3">
      <c r="A26" t="s">
        <v>11</v>
      </c>
      <c r="B26">
        <v>1</v>
      </c>
      <c r="C26">
        <f t="shared" si="1"/>
        <v>1</v>
      </c>
    </row>
    <row r="27" spans="1:3" x14ac:dyDescent="0.3">
      <c r="A27" t="s">
        <v>12</v>
      </c>
      <c r="B27">
        <v>0.12916666666666651</v>
      </c>
      <c r="C27">
        <f t="shared" si="1"/>
        <v>0</v>
      </c>
    </row>
    <row r="28" spans="1:3" x14ac:dyDescent="0.3">
      <c r="A28" t="s">
        <v>13</v>
      </c>
      <c r="B28">
        <v>0</v>
      </c>
      <c r="C28">
        <f t="shared" si="1"/>
        <v>0</v>
      </c>
    </row>
    <row r="29" spans="1:3" x14ac:dyDescent="0.3">
      <c r="A29" t="s">
        <v>14</v>
      </c>
      <c r="B29">
        <v>0</v>
      </c>
      <c r="C29">
        <f t="shared" si="1"/>
        <v>0</v>
      </c>
    </row>
    <row r="30" spans="1:3" x14ac:dyDescent="0.3">
      <c r="A30" t="s">
        <v>15</v>
      </c>
      <c r="B30">
        <v>0</v>
      </c>
      <c r="C30">
        <f t="shared" si="1"/>
        <v>0</v>
      </c>
    </row>
    <row r="31" spans="1:3" x14ac:dyDescent="0.3">
      <c r="A31" t="s">
        <v>16</v>
      </c>
      <c r="B31">
        <v>0.95937499999999987</v>
      </c>
      <c r="C31">
        <f t="shared" si="1"/>
        <v>1</v>
      </c>
    </row>
    <row r="32" spans="1:3" x14ac:dyDescent="0.3">
      <c r="A32" t="s">
        <v>17</v>
      </c>
      <c r="B32">
        <v>1</v>
      </c>
      <c r="C32">
        <f t="shared" si="1"/>
        <v>1</v>
      </c>
    </row>
    <row r="33" spans="1:3" x14ac:dyDescent="0.3">
      <c r="A33" t="s">
        <v>18</v>
      </c>
      <c r="B33">
        <v>0</v>
      </c>
      <c r="C33">
        <f t="shared" si="1"/>
        <v>0</v>
      </c>
    </row>
    <row r="34" spans="1:3" x14ac:dyDescent="0.3">
      <c r="A34" t="s">
        <v>19</v>
      </c>
      <c r="B34">
        <v>1</v>
      </c>
      <c r="C34">
        <f t="shared" si="1"/>
        <v>1</v>
      </c>
    </row>
    <row r="35" spans="1:3" x14ac:dyDescent="0.3">
      <c r="A35" t="s">
        <v>20</v>
      </c>
      <c r="B35">
        <v>1</v>
      </c>
      <c r="C35">
        <f t="shared" si="1"/>
        <v>1</v>
      </c>
    </row>
    <row r="36" spans="1:3" x14ac:dyDescent="0.3">
      <c r="A36" t="s">
        <v>21</v>
      </c>
      <c r="B36">
        <v>1</v>
      </c>
      <c r="C36">
        <f t="shared" si="1"/>
        <v>1</v>
      </c>
    </row>
    <row r="37" spans="1:3" x14ac:dyDescent="0.3">
      <c r="A37" t="s">
        <v>22</v>
      </c>
      <c r="B37">
        <v>1</v>
      </c>
      <c r="C37">
        <f t="shared" si="1"/>
        <v>1</v>
      </c>
    </row>
    <row r="38" spans="1:3" x14ac:dyDescent="0.3">
      <c r="A38" t="s">
        <v>23</v>
      </c>
      <c r="B38">
        <v>1</v>
      </c>
      <c r="C38">
        <f t="shared" si="1"/>
        <v>1</v>
      </c>
    </row>
    <row r="39" spans="1:3" x14ac:dyDescent="0.3">
      <c r="A39" t="s">
        <v>24</v>
      </c>
      <c r="B39">
        <v>1</v>
      </c>
      <c r="C39">
        <f t="shared" si="1"/>
        <v>1</v>
      </c>
    </row>
    <row r="40" spans="1:3" x14ac:dyDescent="0.3">
      <c r="A40" t="s">
        <v>25</v>
      </c>
      <c r="B40">
        <v>1</v>
      </c>
      <c r="C40">
        <f t="shared" si="1"/>
        <v>1</v>
      </c>
    </row>
    <row r="41" spans="1:3" x14ac:dyDescent="0.3">
      <c r="A41" t="s">
        <v>26</v>
      </c>
      <c r="B41">
        <v>1</v>
      </c>
      <c r="C41">
        <f t="shared" si="1"/>
        <v>1</v>
      </c>
    </row>
    <row r="42" spans="1:3" x14ac:dyDescent="0.3">
      <c r="A42" t="s">
        <v>27</v>
      </c>
      <c r="B42">
        <v>1</v>
      </c>
      <c r="C42">
        <f t="shared" si="1"/>
        <v>1</v>
      </c>
    </row>
    <row r="43" spans="1:3" x14ac:dyDescent="0.3">
      <c r="A43" t="s">
        <v>28</v>
      </c>
      <c r="B43">
        <v>1</v>
      </c>
      <c r="C43">
        <f t="shared" si="1"/>
        <v>1</v>
      </c>
    </row>
    <row r="44" spans="1:3" x14ac:dyDescent="0.3">
      <c r="A44" t="s">
        <v>29</v>
      </c>
      <c r="B44">
        <v>1</v>
      </c>
      <c r="C44">
        <f t="shared" si="1"/>
        <v>1</v>
      </c>
    </row>
    <row r="45" spans="1:3" x14ac:dyDescent="0.3">
      <c r="A45" t="s">
        <v>30</v>
      </c>
      <c r="B45">
        <v>1</v>
      </c>
      <c r="C45">
        <f t="shared" si="1"/>
        <v>1</v>
      </c>
    </row>
    <row r="46" spans="1:3" x14ac:dyDescent="0.3">
      <c r="B46" cm="1">
        <f t="array" ref="B46">SUMPRODUCT($B$4:$AC$4,TRANSPOSE(B18:B45))</f>
        <v>12462.104166666666</v>
      </c>
      <c r="C46" cm="1">
        <f t="array" ref="C46">SUMPRODUCT($B$4:$AC$4,TRANSPOSE(C18:C45))</f>
        <v>12440</v>
      </c>
    </row>
  </sheetData>
  <mergeCells count="2">
    <mergeCell ref="A1:AD1"/>
    <mergeCell ref="A2:AD2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3899-E958-46A7-A984-F24452BF2659}">
  <dimension ref="A1:AE45"/>
  <sheetViews>
    <sheetView topLeftCell="A30" workbookViewId="0">
      <selection activeCell="B45" sqref="B45"/>
    </sheetView>
  </sheetViews>
  <sheetFormatPr defaultRowHeight="14.4" x14ac:dyDescent="0.3"/>
  <sheetData>
    <row r="1" spans="1:3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</row>
    <row r="4" spans="1:31" x14ac:dyDescent="0.3">
      <c r="A4" s="5" t="s">
        <v>32</v>
      </c>
      <c r="B4" s="6">
        <v>100</v>
      </c>
      <c r="C4" s="6">
        <v>220</v>
      </c>
      <c r="D4" s="6">
        <v>90</v>
      </c>
      <c r="E4" s="6">
        <v>400</v>
      </c>
      <c r="F4" s="6">
        <v>300</v>
      </c>
      <c r="G4" s="6">
        <v>400</v>
      </c>
      <c r="H4" s="6">
        <v>205</v>
      </c>
      <c r="I4" s="6">
        <v>120</v>
      </c>
      <c r="J4" s="6">
        <v>160</v>
      </c>
      <c r="K4" s="6">
        <v>580</v>
      </c>
      <c r="L4" s="6">
        <v>400</v>
      </c>
      <c r="M4" s="6">
        <v>140</v>
      </c>
      <c r="N4" s="6">
        <v>100</v>
      </c>
      <c r="O4" s="6">
        <v>1300</v>
      </c>
      <c r="P4" s="6">
        <v>650</v>
      </c>
      <c r="Q4" s="6">
        <v>320</v>
      </c>
      <c r="R4" s="6">
        <v>480</v>
      </c>
      <c r="S4" s="6">
        <v>80</v>
      </c>
      <c r="T4" s="6">
        <v>60</v>
      </c>
      <c r="U4" s="6">
        <v>2550</v>
      </c>
      <c r="V4" s="6">
        <v>3100</v>
      </c>
      <c r="W4" s="6">
        <v>1100</v>
      </c>
      <c r="X4" s="6">
        <v>950</v>
      </c>
      <c r="Y4" s="6">
        <v>450</v>
      </c>
      <c r="Z4" s="6">
        <v>300</v>
      </c>
      <c r="AA4" s="6">
        <v>220</v>
      </c>
      <c r="AB4" s="6">
        <v>200</v>
      </c>
      <c r="AC4" s="6">
        <v>520</v>
      </c>
      <c r="AD4" s="7"/>
    </row>
    <row r="5" spans="1:31" x14ac:dyDescent="0.3">
      <c r="A5" s="8" t="s">
        <v>33</v>
      </c>
      <c r="B5" s="9">
        <v>8</v>
      </c>
      <c r="C5" s="9">
        <v>24</v>
      </c>
      <c r="D5" s="9">
        <v>13</v>
      </c>
      <c r="E5" s="9">
        <v>80</v>
      </c>
      <c r="F5" s="9">
        <v>70</v>
      </c>
      <c r="G5" s="9">
        <v>80</v>
      </c>
      <c r="H5" s="9">
        <v>45</v>
      </c>
      <c r="I5" s="9">
        <v>15</v>
      </c>
      <c r="J5" s="9">
        <v>28</v>
      </c>
      <c r="K5" s="9">
        <v>90</v>
      </c>
      <c r="L5" s="9">
        <v>130</v>
      </c>
      <c r="M5" s="9">
        <v>32</v>
      </c>
      <c r="N5" s="9">
        <v>20</v>
      </c>
      <c r="O5" s="9">
        <v>120</v>
      </c>
      <c r="P5" s="9">
        <v>40</v>
      </c>
      <c r="Q5" s="9">
        <v>30</v>
      </c>
      <c r="R5" s="9">
        <v>20</v>
      </c>
      <c r="S5" s="9">
        <v>6</v>
      </c>
      <c r="T5" s="9">
        <v>3</v>
      </c>
      <c r="U5" s="9">
        <v>180</v>
      </c>
      <c r="V5" s="9">
        <v>220</v>
      </c>
      <c r="W5" s="9">
        <v>50</v>
      </c>
      <c r="X5" s="9">
        <v>30</v>
      </c>
      <c r="Y5" s="9">
        <v>50</v>
      </c>
      <c r="Z5" s="9">
        <v>12</v>
      </c>
      <c r="AA5" s="9">
        <v>5</v>
      </c>
      <c r="AB5" s="9">
        <v>8</v>
      </c>
      <c r="AC5" s="9">
        <v>18</v>
      </c>
      <c r="AD5" s="10">
        <v>930</v>
      </c>
      <c r="AE5" cm="1">
        <f t="array" ref="AE5">SUMPRODUCT(B5:AC5,TRANSPOSE($B$17:$B$44))</f>
        <v>815</v>
      </c>
    </row>
    <row r="6" spans="1:31" x14ac:dyDescent="0.3">
      <c r="A6" s="11" t="s">
        <v>34</v>
      </c>
      <c r="B6" s="12">
        <v>8</v>
      </c>
      <c r="C6" s="12">
        <v>44</v>
      </c>
      <c r="D6" s="12">
        <v>13</v>
      </c>
      <c r="E6" s="12">
        <v>100</v>
      </c>
      <c r="F6" s="12">
        <v>100</v>
      </c>
      <c r="G6" s="12">
        <v>90</v>
      </c>
      <c r="H6" s="12">
        <v>75</v>
      </c>
      <c r="I6" s="12">
        <v>25</v>
      </c>
      <c r="J6" s="12">
        <v>28</v>
      </c>
      <c r="K6" s="12">
        <v>120</v>
      </c>
      <c r="L6" s="12">
        <v>130</v>
      </c>
      <c r="M6" s="12">
        <v>32</v>
      </c>
      <c r="N6" s="12">
        <v>40</v>
      </c>
      <c r="O6" s="12">
        <v>160</v>
      </c>
      <c r="P6" s="12">
        <v>40</v>
      </c>
      <c r="Q6" s="12">
        <v>60</v>
      </c>
      <c r="R6" s="12">
        <v>55</v>
      </c>
      <c r="S6" s="12">
        <v>10</v>
      </c>
      <c r="T6" s="12">
        <v>6</v>
      </c>
      <c r="U6" s="12">
        <v>240</v>
      </c>
      <c r="V6" s="12">
        <v>290</v>
      </c>
      <c r="W6" s="12">
        <v>80</v>
      </c>
      <c r="X6" s="12">
        <v>90</v>
      </c>
      <c r="Y6" s="12">
        <v>70</v>
      </c>
      <c r="Z6" s="12">
        <v>27</v>
      </c>
      <c r="AA6" s="12">
        <v>17</v>
      </c>
      <c r="AB6" s="12">
        <v>8</v>
      </c>
      <c r="AC6" s="12">
        <v>28</v>
      </c>
      <c r="AD6" s="10">
        <v>1210</v>
      </c>
      <c r="AE6" cm="1">
        <f t="array" ref="AE6">SUMPRODUCT(B6:AC6,TRANSPOSE($B$17:$B$44))</f>
        <v>1204</v>
      </c>
    </row>
    <row r="7" spans="1:31" x14ac:dyDescent="0.3">
      <c r="A7" s="8" t="s">
        <v>35</v>
      </c>
      <c r="B7" s="9">
        <v>3</v>
      </c>
      <c r="C7" s="9">
        <v>6</v>
      </c>
      <c r="D7" s="9">
        <v>4</v>
      </c>
      <c r="E7" s="9">
        <v>20</v>
      </c>
      <c r="F7" s="9">
        <v>20</v>
      </c>
      <c r="G7" s="9">
        <v>30</v>
      </c>
      <c r="H7" s="9">
        <v>8</v>
      </c>
      <c r="I7" s="9">
        <v>3</v>
      </c>
      <c r="J7" s="9">
        <v>12</v>
      </c>
      <c r="K7" s="9">
        <v>14</v>
      </c>
      <c r="L7" s="9">
        <v>40</v>
      </c>
      <c r="M7" s="9">
        <v>6</v>
      </c>
      <c r="N7" s="9">
        <v>3</v>
      </c>
      <c r="O7" s="9">
        <v>20</v>
      </c>
      <c r="P7" s="9">
        <v>5</v>
      </c>
      <c r="Q7" s="9">
        <v>0</v>
      </c>
      <c r="R7" s="9">
        <v>5</v>
      </c>
      <c r="S7" s="9">
        <v>3</v>
      </c>
      <c r="T7" s="9">
        <v>0</v>
      </c>
      <c r="U7" s="9">
        <v>20</v>
      </c>
      <c r="V7" s="9">
        <v>30</v>
      </c>
      <c r="W7" s="9">
        <v>40</v>
      </c>
      <c r="X7" s="9">
        <v>10</v>
      </c>
      <c r="Y7" s="9">
        <v>0</v>
      </c>
      <c r="Z7" s="9">
        <v>5</v>
      </c>
      <c r="AA7" s="9">
        <v>0</v>
      </c>
      <c r="AB7" s="9">
        <v>0</v>
      </c>
      <c r="AC7" s="9">
        <v>10</v>
      </c>
      <c r="AD7" s="10">
        <v>272</v>
      </c>
      <c r="AE7" cm="1">
        <f t="array" ref="AE7">SUMPRODUCT(B7:AC7,TRANSPOSE($B$17:$B$44))</f>
        <v>173</v>
      </c>
    </row>
    <row r="8" spans="1:31" x14ac:dyDescent="0.3">
      <c r="A8" s="11" t="s">
        <v>36</v>
      </c>
      <c r="B8" s="12">
        <v>5</v>
      </c>
      <c r="C8" s="12">
        <v>9</v>
      </c>
      <c r="D8" s="12">
        <v>6</v>
      </c>
      <c r="E8" s="12">
        <v>40</v>
      </c>
      <c r="F8" s="12">
        <v>30</v>
      </c>
      <c r="G8" s="12">
        <v>40</v>
      </c>
      <c r="H8" s="12">
        <v>16</v>
      </c>
      <c r="I8" s="12">
        <v>5</v>
      </c>
      <c r="J8" s="12">
        <v>18</v>
      </c>
      <c r="K8" s="12">
        <v>24</v>
      </c>
      <c r="L8" s="12">
        <v>60</v>
      </c>
      <c r="M8" s="12">
        <v>16</v>
      </c>
      <c r="N8" s="12">
        <v>11</v>
      </c>
      <c r="O8" s="12">
        <v>30</v>
      </c>
      <c r="P8" s="12">
        <v>25</v>
      </c>
      <c r="Q8" s="12">
        <v>10</v>
      </c>
      <c r="R8" s="12">
        <v>13</v>
      </c>
      <c r="S8" s="12">
        <v>5</v>
      </c>
      <c r="T8" s="12">
        <v>1</v>
      </c>
      <c r="U8" s="12">
        <v>80</v>
      </c>
      <c r="V8" s="12">
        <v>60</v>
      </c>
      <c r="W8" s="12">
        <v>50</v>
      </c>
      <c r="X8" s="12">
        <v>20</v>
      </c>
      <c r="Y8" s="12">
        <v>30</v>
      </c>
      <c r="Z8" s="12">
        <v>10</v>
      </c>
      <c r="AA8" s="12">
        <v>5</v>
      </c>
      <c r="AB8" s="12">
        <v>3</v>
      </c>
      <c r="AC8" s="12">
        <v>20</v>
      </c>
      <c r="AD8" s="10">
        <v>462</v>
      </c>
      <c r="AE8" cm="1">
        <f t="array" ref="AE8">SUMPRODUCT(B8:AC8,TRANSPOSE($B$17:$B$44))</f>
        <v>370</v>
      </c>
    </row>
    <row r="9" spans="1:31" x14ac:dyDescent="0.3">
      <c r="A9" s="8" t="s">
        <v>37</v>
      </c>
      <c r="B9" s="9">
        <v>5</v>
      </c>
      <c r="C9" s="9">
        <v>11</v>
      </c>
      <c r="D9" s="9">
        <v>7</v>
      </c>
      <c r="E9" s="9">
        <v>50</v>
      </c>
      <c r="F9" s="9">
        <v>40</v>
      </c>
      <c r="G9" s="9">
        <v>40</v>
      </c>
      <c r="H9" s="9">
        <v>19</v>
      </c>
      <c r="I9" s="9">
        <v>7</v>
      </c>
      <c r="J9" s="9">
        <v>18</v>
      </c>
      <c r="K9" s="9">
        <v>29</v>
      </c>
      <c r="L9" s="9">
        <v>70</v>
      </c>
      <c r="M9" s="9">
        <v>21</v>
      </c>
      <c r="N9" s="9">
        <v>17</v>
      </c>
      <c r="O9" s="9">
        <v>30</v>
      </c>
      <c r="P9" s="9">
        <v>25</v>
      </c>
      <c r="Q9" s="9">
        <v>15</v>
      </c>
      <c r="R9" s="9">
        <v>25</v>
      </c>
      <c r="S9" s="9">
        <v>5</v>
      </c>
      <c r="T9" s="9">
        <v>1</v>
      </c>
      <c r="U9" s="9">
        <v>100</v>
      </c>
      <c r="V9" s="9">
        <v>70</v>
      </c>
      <c r="W9" s="9">
        <v>55</v>
      </c>
      <c r="X9" s="9">
        <v>20</v>
      </c>
      <c r="Y9" s="9">
        <v>50</v>
      </c>
      <c r="Z9" s="9">
        <v>15</v>
      </c>
      <c r="AA9" s="9">
        <v>15</v>
      </c>
      <c r="AB9" s="9">
        <v>6</v>
      </c>
      <c r="AC9" s="9">
        <v>20</v>
      </c>
      <c r="AD9" s="10">
        <v>532</v>
      </c>
      <c r="AE9" cm="1">
        <f t="array" ref="AE9">SUMPRODUCT(B9:AC9,TRANSPOSE($B$17:$B$44))</f>
        <v>443</v>
      </c>
    </row>
    <row r="10" spans="1:31" x14ac:dyDescent="0.3">
      <c r="A10" s="11" t="s">
        <v>38</v>
      </c>
      <c r="B10" s="12">
        <v>5</v>
      </c>
      <c r="C10" s="12">
        <v>11</v>
      </c>
      <c r="D10" s="12">
        <v>7</v>
      </c>
      <c r="E10" s="12">
        <v>55</v>
      </c>
      <c r="F10" s="12">
        <v>40</v>
      </c>
      <c r="G10" s="12">
        <v>40</v>
      </c>
      <c r="H10" s="12">
        <v>21</v>
      </c>
      <c r="I10" s="12">
        <v>9</v>
      </c>
      <c r="J10" s="12">
        <v>18</v>
      </c>
      <c r="K10" s="12">
        <v>29</v>
      </c>
      <c r="L10" s="12">
        <v>70</v>
      </c>
      <c r="M10" s="12">
        <v>21</v>
      </c>
      <c r="N10" s="12">
        <v>17</v>
      </c>
      <c r="O10" s="12">
        <v>35</v>
      </c>
      <c r="P10" s="12">
        <v>25</v>
      </c>
      <c r="Q10" s="12">
        <v>20</v>
      </c>
      <c r="R10" s="12">
        <v>25</v>
      </c>
      <c r="S10" s="12">
        <v>5</v>
      </c>
      <c r="T10" s="12">
        <v>2</v>
      </c>
      <c r="U10" s="12">
        <v>110</v>
      </c>
      <c r="V10" s="12">
        <v>70</v>
      </c>
      <c r="W10" s="12">
        <v>55</v>
      </c>
      <c r="X10" s="12">
        <v>20</v>
      </c>
      <c r="Y10" s="12">
        <v>50</v>
      </c>
      <c r="Z10" s="12">
        <v>20</v>
      </c>
      <c r="AA10" s="12">
        <v>15</v>
      </c>
      <c r="AB10" s="12">
        <v>6</v>
      </c>
      <c r="AC10" s="12">
        <v>20</v>
      </c>
      <c r="AD10" s="10">
        <v>572</v>
      </c>
      <c r="AE10" cm="1">
        <f t="array" ref="AE10">SUMPRODUCT(B10:AC10,TRANSPOSE($B$17:$B$44))</f>
        <v>469</v>
      </c>
    </row>
    <row r="11" spans="1:31" x14ac:dyDescent="0.3">
      <c r="A11" s="8" t="s">
        <v>39</v>
      </c>
      <c r="B11" s="9">
        <v>0</v>
      </c>
      <c r="C11" s="9">
        <v>0</v>
      </c>
      <c r="D11" s="9">
        <v>1</v>
      </c>
      <c r="E11" s="9">
        <v>10</v>
      </c>
      <c r="F11" s="9">
        <v>4</v>
      </c>
      <c r="G11" s="9">
        <v>10</v>
      </c>
      <c r="H11" s="9">
        <v>0</v>
      </c>
      <c r="I11" s="9">
        <v>6</v>
      </c>
      <c r="J11" s="9">
        <v>0</v>
      </c>
      <c r="K11" s="9">
        <v>6</v>
      </c>
      <c r="L11" s="9">
        <v>32</v>
      </c>
      <c r="M11" s="9">
        <v>3</v>
      </c>
      <c r="N11" s="9">
        <v>0</v>
      </c>
      <c r="O11" s="9">
        <v>70</v>
      </c>
      <c r="P11" s="9">
        <v>10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30</v>
      </c>
      <c r="W11" s="9">
        <v>10</v>
      </c>
      <c r="X11" s="9">
        <v>0</v>
      </c>
      <c r="Y11" s="9">
        <v>10</v>
      </c>
      <c r="Z11" s="9">
        <v>10</v>
      </c>
      <c r="AA11" s="9">
        <v>5</v>
      </c>
      <c r="AB11" s="9">
        <v>0</v>
      </c>
      <c r="AC11" s="9">
        <v>10</v>
      </c>
      <c r="AD11" s="10">
        <v>240</v>
      </c>
      <c r="AE11" cm="1">
        <f t="array" ref="AE11">SUMPRODUCT(B11:AC11,TRANSPOSE($B$17:$B$44))</f>
        <v>146</v>
      </c>
    </row>
    <row r="12" spans="1:31" x14ac:dyDescent="0.3">
      <c r="A12" s="11" t="s">
        <v>40</v>
      </c>
      <c r="B12" s="12">
        <v>3</v>
      </c>
      <c r="C12" s="12">
        <v>4</v>
      </c>
      <c r="D12" s="12">
        <v>5</v>
      </c>
      <c r="E12" s="12">
        <v>20</v>
      </c>
      <c r="F12" s="12">
        <v>14</v>
      </c>
      <c r="G12" s="12">
        <v>20</v>
      </c>
      <c r="H12" s="12">
        <v>6</v>
      </c>
      <c r="I12" s="12">
        <v>12</v>
      </c>
      <c r="J12" s="12">
        <v>10</v>
      </c>
      <c r="K12" s="12">
        <v>18</v>
      </c>
      <c r="L12" s="12">
        <v>42</v>
      </c>
      <c r="M12" s="12">
        <v>9</v>
      </c>
      <c r="N12" s="12">
        <v>12</v>
      </c>
      <c r="O12" s="12">
        <v>100</v>
      </c>
      <c r="P12" s="12">
        <v>20</v>
      </c>
      <c r="Q12" s="12">
        <v>5</v>
      </c>
      <c r="R12" s="12">
        <v>6</v>
      </c>
      <c r="S12" s="12">
        <v>4</v>
      </c>
      <c r="T12" s="12">
        <v>1</v>
      </c>
      <c r="U12" s="12">
        <v>20</v>
      </c>
      <c r="V12" s="12">
        <v>50</v>
      </c>
      <c r="W12" s="12">
        <v>30</v>
      </c>
      <c r="X12" s="12">
        <v>5</v>
      </c>
      <c r="Y12" s="12">
        <v>20</v>
      </c>
      <c r="Z12" s="12">
        <v>20</v>
      </c>
      <c r="AA12" s="12">
        <v>10</v>
      </c>
      <c r="AB12" s="12">
        <v>10</v>
      </c>
      <c r="AC12" s="12">
        <v>20</v>
      </c>
      <c r="AD12" s="10">
        <v>400</v>
      </c>
      <c r="AE12" cm="1">
        <f t="array" ref="AE12">SUMPRODUCT(B12:AC12,TRANSPOSE($B$17:$B$44))</f>
        <v>323</v>
      </c>
    </row>
    <row r="13" spans="1:31" x14ac:dyDescent="0.3">
      <c r="A13" s="8" t="s">
        <v>41</v>
      </c>
      <c r="B13" s="9">
        <v>3</v>
      </c>
      <c r="C13" s="9">
        <v>6</v>
      </c>
      <c r="D13" s="9">
        <v>9</v>
      </c>
      <c r="E13" s="9">
        <v>30</v>
      </c>
      <c r="F13" s="9">
        <v>29</v>
      </c>
      <c r="G13" s="9">
        <v>20</v>
      </c>
      <c r="H13" s="9">
        <v>12</v>
      </c>
      <c r="I13" s="9">
        <v>12</v>
      </c>
      <c r="J13" s="9">
        <v>10</v>
      </c>
      <c r="K13" s="9">
        <v>30</v>
      </c>
      <c r="L13" s="9">
        <v>42</v>
      </c>
      <c r="M13" s="9">
        <v>18</v>
      </c>
      <c r="N13" s="9">
        <v>18</v>
      </c>
      <c r="O13" s="9">
        <v>110</v>
      </c>
      <c r="P13" s="9">
        <v>20</v>
      </c>
      <c r="Q13" s="9">
        <v>15</v>
      </c>
      <c r="R13" s="9">
        <v>18</v>
      </c>
      <c r="S13" s="9">
        <v>7</v>
      </c>
      <c r="T13" s="9">
        <v>2</v>
      </c>
      <c r="U13" s="9">
        <v>40</v>
      </c>
      <c r="V13" s="9">
        <v>60</v>
      </c>
      <c r="W13" s="9">
        <v>50</v>
      </c>
      <c r="X13" s="9">
        <v>25</v>
      </c>
      <c r="Y13" s="9">
        <v>25</v>
      </c>
      <c r="Z13" s="9">
        <v>25</v>
      </c>
      <c r="AA13" s="9">
        <v>15</v>
      </c>
      <c r="AB13" s="9">
        <v>10</v>
      </c>
      <c r="AC13" s="9">
        <v>28</v>
      </c>
      <c r="AD13" s="10">
        <v>470</v>
      </c>
      <c r="AE13" cm="1">
        <f t="array" ref="AE13">SUMPRODUCT(B13:AC13,TRANSPOSE($B$17:$B$44))</f>
        <v>453</v>
      </c>
    </row>
    <row r="14" spans="1:31" x14ac:dyDescent="0.3">
      <c r="A14" s="11" t="s">
        <v>42</v>
      </c>
      <c r="B14" s="12">
        <v>3</v>
      </c>
      <c r="C14" s="12">
        <v>8</v>
      </c>
      <c r="D14" s="12">
        <v>9</v>
      </c>
      <c r="E14" s="12">
        <v>35</v>
      </c>
      <c r="F14" s="12">
        <v>29</v>
      </c>
      <c r="G14" s="12">
        <v>20</v>
      </c>
      <c r="H14" s="12">
        <v>16</v>
      </c>
      <c r="I14" s="12">
        <v>15</v>
      </c>
      <c r="J14" s="12">
        <v>10</v>
      </c>
      <c r="K14" s="12">
        <v>30</v>
      </c>
      <c r="L14" s="12">
        <v>42</v>
      </c>
      <c r="M14" s="12">
        <v>20</v>
      </c>
      <c r="N14" s="12">
        <v>18</v>
      </c>
      <c r="O14" s="12">
        <v>120</v>
      </c>
      <c r="P14" s="12">
        <v>20</v>
      </c>
      <c r="Q14" s="12">
        <v>20</v>
      </c>
      <c r="R14" s="12">
        <v>22</v>
      </c>
      <c r="S14" s="12">
        <v>7</v>
      </c>
      <c r="T14" s="12">
        <v>3</v>
      </c>
      <c r="U14" s="12">
        <v>50</v>
      </c>
      <c r="V14" s="12">
        <v>60</v>
      </c>
      <c r="W14" s="12">
        <v>55</v>
      </c>
      <c r="X14" s="12">
        <v>25</v>
      </c>
      <c r="Y14" s="12">
        <v>30</v>
      </c>
      <c r="Z14" s="12">
        <v>25</v>
      </c>
      <c r="AA14" s="12">
        <v>15</v>
      </c>
      <c r="AB14" s="12">
        <v>10</v>
      </c>
      <c r="AC14" s="12">
        <v>28</v>
      </c>
      <c r="AD14" s="10">
        <v>490</v>
      </c>
      <c r="AE14" cm="1">
        <f t="array" ref="AE14">SUMPRODUCT(B14:AC14,TRANSPOSE($B$17:$B$44))</f>
        <v>490</v>
      </c>
    </row>
    <row r="17" spans="1:2" x14ac:dyDescent="0.3">
      <c r="A17" t="s">
        <v>3</v>
      </c>
      <c r="B17">
        <v>1</v>
      </c>
    </row>
    <row r="18" spans="1:2" x14ac:dyDescent="0.3">
      <c r="A18" t="s">
        <v>4</v>
      </c>
      <c r="B18">
        <v>1</v>
      </c>
    </row>
    <row r="19" spans="1:2" x14ac:dyDescent="0.3">
      <c r="A19" t="s">
        <v>5</v>
      </c>
      <c r="B19">
        <v>1</v>
      </c>
    </row>
    <row r="20" spans="1:2" x14ac:dyDescent="0.3">
      <c r="A20" t="s">
        <v>6</v>
      </c>
      <c r="B20">
        <v>0</v>
      </c>
    </row>
    <row r="21" spans="1:2" x14ac:dyDescent="0.3">
      <c r="A21" t="s">
        <v>7</v>
      </c>
      <c r="B21">
        <v>0</v>
      </c>
    </row>
    <row r="22" spans="1:2" x14ac:dyDescent="0.3">
      <c r="A22" t="s">
        <v>8</v>
      </c>
      <c r="B22">
        <v>0</v>
      </c>
    </row>
    <row r="23" spans="1:2" x14ac:dyDescent="0.3">
      <c r="A23" t="s">
        <v>9</v>
      </c>
      <c r="B23">
        <v>0</v>
      </c>
    </row>
    <row r="24" spans="1:2" x14ac:dyDescent="0.3">
      <c r="A24" t="s">
        <v>10</v>
      </c>
      <c r="B24">
        <v>0</v>
      </c>
    </row>
    <row r="25" spans="1:2" x14ac:dyDescent="0.3">
      <c r="A25" t="s">
        <v>11</v>
      </c>
      <c r="B25">
        <v>1</v>
      </c>
    </row>
    <row r="26" spans="1:2" x14ac:dyDescent="0.3">
      <c r="A26" t="s">
        <v>12</v>
      </c>
      <c r="B26">
        <v>0</v>
      </c>
    </row>
    <row r="27" spans="1:2" x14ac:dyDescent="0.3">
      <c r="A27" t="s">
        <v>13</v>
      </c>
      <c r="B27">
        <v>0</v>
      </c>
    </row>
    <row r="28" spans="1:2" x14ac:dyDescent="0.3">
      <c r="A28" t="s">
        <v>14</v>
      </c>
      <c r="B28">
        <v>0</v>
      </c>
    </row>
    <row r="29" spans="1:2" x14ac:dyDescent="0.3">
      <c r="A29" t="s">
        <v>15</v>
      </c>
      <c r="B29">
        <v>0</v>
      </c>
    </row>
    <row r="30" spans="1:2" x14ac:dyDescent="0.3">
      <c r="A30" t="s">
        <v>16</v>
      </c>
      <c r="B30">
        <v>1</v>
      </c>
    </row>
    <row r="31" spans="1:2" x14ac:dyDescent="0.3">
      <c r="A31" t="s">
        <v>17</v>
      </c>
      <c r="B31">
        <v>1</v>
      </c>
    </row>
    <row r="32" spans="1:2" x14ac:dyDescent="0.3">
      <c r="A32" t="s">
        <v>18</v>
      </c>
      <c r="B32">
        <v>1</v>
      </c>
    </row>
    <row r="33" spans="1:2" x14ac:dyDescent="0.3">
      <c r="A33" t="s">
        <v>19</v>
      </c>
      <c r="B33">
        <v>1</v>
      </c>
    </row>
    <row r="34" spans="1:2" x14ac:dyDescent="0.3">
      <c r="A34" t="s">
        <v>20</v>
      </c>
      <c r="B34">
        <v>1</v>
      </c>
    </row>
    <row r="35" spans="1:2" x14ac:dyDescent="0.3">
      <c r="A35" t="s">
        <v>21</v>
      </c>
      <c r="B35">
        <v>1</v>
      </c>
    </row>
    <row r="36" spans="1:2" x14ac:dyDescent="0.3">
      <c r="A36" t="s">
        <v>22</v>
      </c>
      <c r="B36">
        <v>1</v>
      </c>
    </row>
    <row r="37" spans="1:2" x14ac:dyDescent="0.3">
      <c r="A37" t="s">
        <v>23</v>
      </c>
      <c r="B37">
        <v>1</v>
      </c>
    </row>
    <row r="38" spans="1:2" x14ac:dyDescent="0.3">
      <c r="A38" t="s">
        <v>24</v>
      </c>
      <c r="B38">
        <v>1</v>
      </c>
    </row>
    <row r="39" spans="1:2" x14ac:dyDescent="0.3">
      <c r="A39" t="s">
        <v>25</v>
      </c>
      <c r="B39">
        <v>1</v>
      </c>
    </row>
    <row r="40" spans="1:2" x14ac:dyDescent="0.3">
      <c r="A40" t="s">
        <v>26</v>
      </c>
      <c r="B40">
        <v>0</v>
      </c>
    </row>
    <row r="41" spans="1:2" x14ac:dyDescent="0.3">
      <c r="A41" t="s">
        <v>27</v>
      </c>
      <c r="B41">
        <v>1</v>
      </c>
    </row>
    <row r="42" spans="1:2" x14ac:dyDescent="0.3">
      <c r="A42" t="s">
        <v>28</v>
      </c>
      <c r="B42">
        <v>1</v>
      </c>
    </row>
    <row r="43" spans="1:2" x14ac:dyDescent="0.3">
      <c r="A43" t="s">
        <v>29</v>
      </c>
      <c r="B43">
        <v>1</v>
      </c>
    </row>
    <row r="44" spans="1:2" x14ac:dyDescent="0.3">
      <c r="A44" t="s">
        <v>30</v>
      </c>
      <c r="B44">
        <v>1</v>
      </c>
    </row>
    <row r="45" spans="1:2" x14ac:dyDescent="0.3">
      <c r="B45" cm="1">
        <f t="array" ref="B45">SUMPRODUCT(B4:AC4,TRANSPOSE(B17:B44))</f>
        <v>12400</v>
      </c>
    </row>
  </sheetData>
  <mergeCells count="2">
    <mergeCell ref="A1:AD1"/>
    <mergeCell ref="A2:AD2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1329-89EC-4F0C-B83A-7127C86C4419}">
  <dimension ref="A1:AR52"/>
  <sheetViews>
    <sheetView topLeftCell="AB4" zoomScaleNormal="100" workbookViewId="0">
      <selection activeCell="C52" sqref="C52"/>
    </sheetView>
  </sheetViews>
  <sheetFormatPr defaultRowHeight="14.4" x14ac:dyDescent="0.3"/>
  <sheetData>
    <row r="1" spans="1:44" x14ac:dyDescent="0.3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4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4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44</v>
      </c>
      <c r="AE3" s="4" t="s">
        <v>45</v>
      </c>
      <c r="AF3" s="4" t="s">
        <v>46</v>
      </c>
      <c r="AG3" s="4" t="s">
        <v>47</v>
      </c>
      <c r="AH3" s="4" t="s">
        <v>48</v>
      </c>
      <c r="AI3" s="4" t="s">
        <v>49</v>
      </c>
      <c r="AJ3" s="4" t="s">
        <v>50</v>
      </c>
      <c r="AK3" s="4" t="s">
        <v>51</v>
      </c>
      <c r="AL3" s="4" t="s">
        <v>52</v>
      </c>
      <c r="AM3" s="4" t="s">
        <v>53</v>
      </c>
      <c r="AN3" s="4" t="s">
        <v>54</v>
      </c>
      <c r="AO3" s="4" t="s">
        <v>31</v>
      </c>
    </row>
    <row r="4" spans="1:44" x14ac:dyDescent="0.3">
      <c r="A4" s="5" t="s">
        <v>32</v>
      </c>
      <c r="B4" s="6">
        <v>560</v>
      </c>
      <c r="C4" s="6">
        <v>1125</v>
      </c>
      <c r="D4" s="6">
        <v>300</v>
      </c>
      <c r="E4" s="6">
        <v>620</v>
      </c>
      <c r="F4" s="6">
        <v>2100</v>
      </c>
      <c r="G4" s="6">
        <v>431</v>
      </c>
      <c r="H4" s="6">
        <v>68</v>
      </c>
      <c r="I4" s="6">
        <v>328</v>
      </c>
      <c r="J4" s="6">
        <v>47</v>
      </c>
      <c r="K4" s="6">
        <v>122</v>
      </c>
      <c r="L4" s="6">
        <v>322</v>
      </c>
      <c r="M4" s="6">
        <v>196</v>
      </c>
      <c r="N4" s="6">
        <v>41</v>
      </c>
      <c r="O4" s="6">
        <v>25</v>
      </c>
      <c r="P4" s="6">
        <v>425</v>
      </c>
      <c r="Q4" s="6">
        <v>4260</v>
      </c>
      <c r="R4" s="6">
        <v>416</v>
      </c>
      <c r="S4" s="6">
        <v>115</v>
      </c>
      <c r="T4" s="6">
        <v>82</v>
      </c>
      <c r="U4" s="6">
        <v>22</v>
      </c>
      <c r="V4" s="6">
        <v>631</v>
      </c>
      <c r="W4" s="6">
        <v>132</v>
      </c>
      <c r="X4" s="6">
        <v>420</v>
      </c>
      <c r="Y4" s="6">
        <v>86</v>
      </c>
      <c r="Z4" s="6">
        <v>42</v>
      </c>
      <c r="AA4" s="6">
        <v>103</v>
      </c>
      <c r="AB4" s="6">
        <v>215</v>
      </c>
      <c r="AC4" s="6">
        <v>81</v>
      </c>
      <c r="AD4" s="6">
        <v>91</v>
      </c>
      <c r="AE4" s="6">
        <v>26</v>
      </c>
      <c r="AF4" s="6">
        <v>49</v>
      </c>
      <c r="AG4" s="6">
        <v>420</v>
      </c>
      <c r="AH4" s="6">
        <v>316</v>
      </c>
      <c r="AI4" s="6">
        <v>72</v>
      </c>
      <c r="AJ4" s="6">
        <v>71</v>
      </c>
      <c r="AK4" s="6">
        <v>49</v>
      </c>
      <c r="AL4" s="6">
        <v>108</v>
      </c>
      <c r="AM4" s="6">
        <v>116</v>
      </c>
      <c r="AN4" s="6">
        <v>90</v>
      </c>
      <c r="AO4" s="7"/>
    </row>
    <row r="5" spans="1:44" x14ac:dyDescent="0.3">
      <c r="A5" s="8" t="s">
        <v>33</v>
      </c>
      <c r="B5" s="9">
        <v>40</v>
      </c>
      <c r="C5" s="9">
        <v>91</v>
      </c>
      <c r="D5" s="9">
        <v>10</v>
      </c>
      <c r="E5" s="9">
        <v>30</v>
      </c>
      <c r="F5" s="9">
        <v>160</v>
      </c>
      <c r="G5" s="9">
        <v>20</v>
      </c>
      <c r="H5" s="9">
        <v>3</v>
      </c>
      <c r="I5" s="9">
        <v>12</v>
      </c>
      <c r="J5" s="9">
        <v>3</v>
      </c>
      <c r="K5" s="9">
        <v>18</v>
      </c>
      <c r="L5" s="9">
        <v>9</v>
      </c>
      <c r="M5" s="9">
        <v>25</v>
      </c>
      <c r="N5" s="9">
        <v>1</v>
      </c>
      <c r="O5" s="9">
        <v>1</v>
      </c>
      <c r="P5" s="9">
        <v>10</v>
      </c>
      <c r="Q5" s="9">
        <v>280</v>
      </c>
      <c r="R5" s="9">
        <v>10</v>
      </c>
      <c r="S5" s="9">
        <v>8</v>
      </c>
      <c r="T5" s="9">
        <v>1</v>
      </c>
      <c r="U5" s="9">
        <v>1</v>
      </c>
      <c r="V5" s="9">
        <v>49</v>
      </c>
      <c r="W5" s="9">
        <v>8</v>
      </c>
      <c r="X5" s="9">
        <v>21</v>
      </c>
      <c r="Y5" s="9">
        <v>6</v>
      </c>
      <c r="Z5" s="9">
        <v>1</v>
      </c>
      <c r="AA5" s="9">
        <v>5</v>
      </c>
      <c r="AB5" s="9">
        <v>10</v>
      </c>
      <c r="AC5" s="9">
        <v>8</v>
      </c>
      <c r="AD5" s="9">
        <v>2</v>
      </c>
      <c r="AE5" s="9">
        <v>1</v>
      </c>
      <c r="AF5" s="9">
        <v>0</v>
      </c>
      <c r="AG5" s="9">
        <v>10</v>
      </c>
      <c r="AH5" s="9">
        <v>42</v>
      </c>
      <c r="AI5" s="9">
        <v>6</v>
      </c>
      <c r="AJ5" s="9">
        <v>4</v>
      </c>
      <c r="AK5" s="9">
        <v>8</v>
      </c>
      <c r="AL5" s="9">
        <v>0</v>
      </c>
      <c r="AM5" s="9">
        <v>10</v>
      </c>
      <c r="AN5" s="9">
        <v>1</v>
      </c>
      <c r="AO5" s="10">
        <v>600</v>
      </c>
      <c r="AP5" cm="1">
        <f t="array" ref="AP5">SUMPRODUCT(B5:AN5,TRANSPOSE($B$13:$B$51))</f>
        <v>600</v>
      </c>
      <c r="AQ5" cm="1">
        <f t="array" ref="AQ5">SUMPRODUCT(B5:AN5,TRANSPOSE($C$13:$C$51))</f>
        <v>653</v>
      </c>
      <c r="AR5" t="str">
        <f>IF(AO5&gt;=AQ5,"f","nf")</f>
        <v>nf</v>
      </c>
    </row>
    <row r="6" spans="1:44" x14ac:dyDescent="0.3">
      <c r="A6" s="11" t="s">
        <v>34</v>
      </c>
      <c r="B6" s="12">
        <v>16</v>
      </c>
      <c r="C6" s="12">
        <v>92</v>
      </c>
      <c r="D6" s="12">
        <v>41</v>
      </c>
      <c r="E6" s="12">
        <v>16</v>
      </c>
      <c r="F6" s="12">
        <v>150</v>
      </c>
      <c r="G6" s="12">
        <v>23</v>
      </c>
      <c r="H6" s="12">
        <v>4</v>
      </c>
      <c r="I6" s="12">
        <v>18</v>
      </c>
      <c r="J6" s="12">
        <v>6</v>
      </c>
      <c r="K6" s="12">
        <v>0</v>
      </c>
      <c r="L6" s="12">
        <v>12</v>
      </c>
      <c r="M6" s="12">
        <v>8</v>
      </c>
      <c r="N6" s="12">
        <v>2</v>
      </c>
      <c r="O6" s="12">
        <v>1</v>
      </c>
      <c r="P6" s="12">
        <v>0</v>
      </c>
      <c r="Q6" s="12">
        <v>200</v>
      </c>
      <c r="R6" s="12">
        <v>20</v>
      </c>
      <c r="S6" s="12">
        <v>6</v>
      </c>
      <c r="T6" s="12">
        <v>2</v>
      </c>
      <c r="U6" s="12">
        <v>1</v>
      </c>
      <c r="V6" s="12">
        <v>70</v>
      </c>
      <c r="W6" s="12">
        <v>9</v>
      </c>
      <c r="X6" s="12">
        <v>22</v>
      </c>
      <c r="Y6" s="12">
        <v>4</v>
      </c>
      <c r="Z6" s="12">
        <v>1</v>
      </c>
      <c r="AA6" s="12">
        <v>5</v>
      </c>
      <c r="AB6" s="12">
        <v>10</v>
      </c>
      <c r="AC6" s="12">
        <v>6</v>
      </c>
      <c r="AD6" s="12">
        <v>4</v>
      </c>
      <c r="AE6" s="12">
        <v>0</v>
      </c>
      <c r="AF6" s="12">
        <v>4</v>
      </c>
      <c r="AG6" s="12">
        <v>12</v>
      </c>
      <c r="AH6" s="12">
        <v>8</v>
      </c>
      <c r="AI6" s="12">
        <v>4</v>
      </c>
      <c r="AJ6" s="12">
        <v>3</v>
      </c>
      <c r="AK6" s="12">
        <v>0</v>
      </c>
      <c r="AL6" s="12">
        <v>10</v>
      </c>
      <c r="AM6" s="12">
        <v>0</v>
      </c>
      <c r="AN6" s="12">
        <v>6</v>
      </c>
      <c r="AO6" s="10">
        <v>500</v>
      </c>
      <c r="AP6" cm="1">
        <f t="array" ref="AP6">SUMPRODUCT(B6:AN6,TRANSPOSE($B$13:$B$51))</f>
        <v>499.99999999999994</v>
      </c>
      <c r="AQ6" cm="1">
        <f t="array" ref="AQ6">SUMPRODUCT(B6:AN6,TRANSPOSE($C$13:$C$51))</f>
        <v>572</v>
      </c>
      <c r="AR6" t="str">
        <f t="shared" ref="AR6:AR9" si="0">IF(AO6&gt;=AQ6,"f","nf")</f>
        <v>nf</v>
      </c>
    </row>
    <row r="7" spans="1:44" x14ac:dyDescent="0.3">
      <c r="A7" s="8" t="s">
        <v>35</v>
      </c>
      <c r="B7" s="9">
        <v>38</v>
      </c>
      <c r="C7" s="9">
        <v>39</v>
      </c>
      <c r="D7" s="9">
        <v>32</v>
      </c>
      <c r="E7" s="9">
        <v>71</v>
      </c>
      <c r="F7" s="9">
        <v>80</v>
      </c>
      <c r="G7" s="9">
        <v>26</v>
      </c>
      <c r="H7" s="9">
        <v>5</v>
      </c>
      <c r="I7" s="9">
        <v>40</v>
      </c>
      <c r="J7" s="9">
        <v>8</v>
      </c>
      <c r="K7" s="9">
        <v>12</v>
      </c>
      <c r="L7" s="9">
        <v>30</v>
      </c>
      <c r="M7" s="9">
        <v>15</v>
      </c>
      <c r="N7" s="9">
        <v>0</v>
      </c>
      <c r="O7" s="9">
        <v>1</v>
      </c>
      <c r="P7" s="9">
        <v>23</v>
      </c>
      <c r="Q7" s="9">
        <v>100</v>
      </c>
      <c r="R7" s="9">
        <v>0</v>
      </c>
      <c r="S7" s="9">
        <v>20</v>
      </c>
      <c r="T7" s="9">
        <v>3</v>
      </c>
      <c r="U7" s="9">
        <v>0</v>
      </c>
      <c r="V7" s="9">
        <v>40</v>
      </c>
      <c r="W7" s="9">
        <v>6</v>
      </c>
      <c r="X7" s="9">
        <v>8</v>
      </c>
      <c r="Y7" s="9">
        <v>0</v>
      </c>
      <c r="Z7" s="9">
        <v>6</v>
      </c>
      <c r="AA7" s="9">
        <v>4</v>
      </c>
      <c r="AB7" s="9">
        <v>22</v>
      </c>
      <c r="AC7" s="9">
        <v>4</v>
      </c>
      <c r="AD7" s="9">
        <v>6</v>
      </c>
      <c r="AE7" s="9">
        <v>1</v>
      </c>
      <c r="AF7" s="9">
        <v>5</v>
      </c>
      <c r="AG7" s="9">
        <v>14</v>
      </c>
      <c r="AH7" s="9">
        <v>8</v>
      </c>
      <c r="AI7" s="9">
        <v>2</v>
      </c>
      <c r="AJ7" s="9">
        <v>8</v>
      </c>
      <c r="AK7" s="9">
        <v>0</v>
      </c>
      <c r="AL7" s="9">
        <v>20</v>
      </c>
      <c r="AM7" s="9">
        <v>0</v>
      </c>
      <c r="AN7" s="9">
        <v>0</v>
      </c>
      <c r="AO7" s="10">
        <v>500</v>
      </c>
      <c r="AP7" cm="1">
        <f t="array" ref="AP7">SUMPRODUCT(B7:AN7,TRANSPOSE($B$13:$B$51))</f>
        <v>499.99999999999994</v>
      </c>
      <c r="AQ7" cm="1">
        <f t="array" ref="AQ7">SUMPRODUCT(B7:AN7,TRANSPOSE($C$13:$C$51))</f>
        <v>539</v>
      </c>
      <c r="AR7" t="str">
        <f t="shared" si="0"/>
        <v>nf</v>
      </c>
    </row>
    <row r="8" spans="1:44" x14ac:dyDescent="0.3">
      <c r="A8" s="11" t="s">
        <v>36</v>
      </c>
      <c r="B8" s="12">
        <v>8</v>
      </c>
      <c r="C8" s="12">
        <v>71</v>
      </c>
      <c r="D8" s="12">
        <v>30</v>
      </c>
      <c r="E8" s="12">
        <v>60</v>
      </c>
      <c r="F8" s="12">
        <v>200</v>
      </c>
      <c r="G8" s="12">
        <v>18</v>
      </c>
      <c r="H8" s="12">
        <v>6</v>
      </c>
      <c r="I8" s="12">
        <v>30</v>
      </c>
      <c r="J8" s="12">
        <v>4</v>
      </c>
      <c r="K8" s="12">
        <v>8</v>
      </c>
      <c r="L8" s="12">
        <v>31</v>
      </c>
      <c r="M8" s="12">
        <v>6</v>
      </c>
      <c r="N8" s="12">
        <v>3</v>
      </c>
      <c r="O8" s="12">
        <v>0</v>
      </c>
      <c r="P8" s="12">
        <v>18</v>
      </c>
      <c r="Q8" s="12">
        <v>60</v>
      </c>
      <c r="R8" s="12">
        <v>21</v>
      </c>
      <c r="S8" s="12">
        <v>4</v>
      </c>
      <c r="T8" s="12">
        <v>0</v>
      </c>
      <c r="U8" s="12">
        <v>2</v>
      </c>
      <c r="V8" s="12">
        <v>32</v>
      </c>
      <c r="W8" s="12">
        <v>15</v>
      </c>
      <c r="X8" s="12">
        <v>31</v>
      </c>
      <c r="Y8" s="12">
        <v>2</v>
      </c>
      <c r="Z8" s="12">
        <v>2</v>
      </c>
      <c r="AA8" s="12">
        <v>7</v>
      </c>
      <c r="AB8" s="12">
        <v>8</v>
      </c>
      <c r="AC8" s="12">
        <v>2</v>
      </c>
      <c r="AD8" s="12">
        <v>8</v>
      </c>
      <c r="AE8" s="12">
        <v>0</v>
      </c>
      <c r="AF8" s="12">
        <v>2</v>
      </c>
      <c r="AG8" s="12">
        <v>8</v>
      </c>
      <c r="AH8" s="12">
        <v>6</v>
      </c>
      <c r="AI8" s="12">
        <v>7</v>
      </c>
      <c r="AJ8" s="12">
        <v>1</v>
      </c>
      <c r="AK8" s="12">
        <v>0</v>
      </c>
      <c r="AL8" s="12">
        <v>0</v>
      </c>
      <c r="AM8" s="12">
        <v>20</v>
      </c>
      <c r="AN8" s="12">
        <v>8</v>
      </c>
      <c r="AO8" s="10">
        <v>500</v>
      </c>
      <c r="AP8" cm="1">
        <f t="array" ref="AP8">SUMPRODUCT(B8:AN8,TRANSPOSE($B$13:$B$51))</f>
        <v>420.22327104943383</v>
      </c>
      <c r="AQ8" cm="1">
        <f t="array" ref="AQ8">SUMPRODUCT(B8:AN8,TRANSPOSE($C$13:$C$51))</f>
        <v>466</v>
      </c>
      <c r="AR8" t="str">
        <f t="shared" si="0"/>
        <v>f</v>
      </c>
    </row>
    <row r="9" spans="1:44" x14ac:dyDescent="0.3">
      <c r="A9" s="8" t="s">
        <v>37</v>
      </c>
      <c r="B9" s="9">
        <v>38</v>
      </c>
      <c r="C9" s="9">
        <v>52</v>
      </c>
      <c r="D9" s="9">
        <v>30</v>
      </c>
      <c r="E9" s="9">
        <v>42</v>
      </c>
      <c r="F9" s="9">
        <v>170</v>
      </c>
      <c r="G9" s="9">
        <v>9</v>
      </c>
      <c r="H9" s="9">
        <v>7</v>
      </c>
      <c r="I9" s="9">
        <v>20</v>
      </c>
      <c r="J9" s="9">
        <v>0</v>
      </c>
      <c r="K9" s="9">
        <v>3</v>
      </c>
      <c r="L9" s="9">
        <v>21</v>
      </c>
      <c r="M9" s="9">
        <v>4</v>
      </c>
      <c r="N9" s="9">
        <v>1</v>
      </c>
      <c r="O9" s="9">
        <v>2</v>
      </c>
      <c r="P9" s="9">
        <v>14</v>
      </c>
      <c r="Q9" s="9">
        <v>310</v>
      </c>
      <c r="R9" s="9">
        <v>8</v>
      </c>
      <c r="S9" s="9">
        <v>4</v>
      </c>
      <c r="T9" s="9">
        <v>6</v>
      </c>
      <c r="U9" s="9">
        <v>1</v>
      </c>
      <c r="V9" s="9">
        <v>18</v>
      </c>
      <c r="W9" s="9">
        <v>15</v>
      </c>
      <c r="X9" s="9">
        <v>38</v>
      </c>
      <c r="Y9" s="9">
        <v>10</v>
      </c>
      <c r="Z9" s="9">
        <v>4</v>
      </c>
      <c r="AA9" s="9">
        <v>8</v>
      </c>
      <c r="AB9" s="9">
        <v>6</v>
      </c>
      <c r="AC9" s="9">
        <v>0</v>
      </c>
      <c r="AD9" s="9">
        <v>0</v>
      </c>
      <c r="AE9" s="9">
        <v>3</v>
      </c>
      <c r="AF9" s="9">
        <v>0</v>
      </c>
      <c r="AG9" s="9">
        <v>10</v>
      </c>
      <c r="AH9" s="9">
        <v>6</v>
      </c>
      <c r="AI9" s="9">
        <v>1</v>
      </c>
      <c r="AJ9" s="9">
        <v>3</v>
      </c>
      <c r="AK9" s="9">
        <v>0</v>
      </c>
      <c r="AL9" s="9">
        <v>3</v>
      </c>
      <c r="AM9" s="9">
        <v>5</v>
      </c>
      <c r="AN9" s="9">
        <v>4</v>
      </c>
      <c r="AO9" s="10">
        <v>600</v>
      </c>
      <c r="AP9" cm="1">
        <f t="array" ref="AP9">SUMPRODUCT(B9:AN9,TRANSPOSE($B$13:$B$51))</f>
        <v>600</v>
      </c>
      <c r="AQ9" cm="1">
        <f t="array" ref="AQ9">SUMPRODUCT(B9:AN9,TRANSPOSE($C$13:$C$51))</f>
        <v>631</v>
      </c>
      <c r="AR9" t="str">
        <f t="shared" si="0"/>
        <v>nf</v>
      </c>
    </row>
    <row r="13" spans="1:44" x14ac:dyDescent="0.3">
      <c r="A13" t="s">
        <v>3</v>
      </c>
      <c r="B13">
        <v>1</v>
      </c>
      <c r="C13">
        <f>ROUND(B13,0)</f>
        <v>1</v>
      </c>
    </row>
    <row r="14" spans="1:44" x14ac:dyDescent="0.3">
      <c r="A14" t="s">
        <v>4</v>
      </c>
      <c r="B14">
        <v>0.54509272141309928</v>
      </c>
      <c r="C14">
        <f t="shared" ref="C14:C51" si="1">ROUND(B14,0)</f>
        <v>1</v>
      </c>
    </row>
    <row r="15" spans="1:44" x14ac:dyDescent="0.3">
      <c r="A15" t="s">
        <v>5</v>
      </c>
      <c r="B15">
        <v>0</v>
      </c>
      <c r="C15">
        <f t="shared" si="1"/>
        <v>0</v>
      </c>
    </row>
    <row r="16" spans="1:44" x14ac:dyDescent="0.3">
      <c r="A16" t="s">
        <v>6</v>
      </c>
      <c r="B16">
        <v>1</v>
      </c>
      <c r="C16">
        <f t="shared" si="1"/>
        <v>1</v>
      </c>
    </row>
    <row r="17" spans="1:3" x14ac:dyDescent="0.3">
      <c r="A17" t="s">
        <v>7</v>
      </c>
      <c r="B17">
        <v>0</v>
      </c>
      <c r="C17">
        <f t="shared" si="1"/>
        <v>0</v>
      </c>
    </row>
    <row r="18" spans="1:3" x14ac:dyDescent="0.3">
      <c r="A18" t="s">
        <v>8</v>
      </c>
      <c r="B18">
        <v>1</v>
      </c>
      <c r="C18">
        <f t="shared" si="1"/>
        <v>1</v>
      </c>
    </row>
    <row r="19" spans="1:3" x14ac:dyDescent="0.3">
      <c r="A19" t="s">
        <v>9</v>
      </c>
      <c r="B19">
        <v>0</v>
      </c>
      <c r="C19">
        <f t="shared" si="1"/>
        <v>0</v>
      </c>
    </row>
    <row r="20" spans="1:3" x14ac:dyDescent="0.3">
      <c r="A20" t="s">
        <v>10</v>
      </c>
      <c r="B20">
        <v>1</v>
      </c>
      <c r="C20">
        <f t="shared" si="1"/>
        <v>1</v>
      </c>
    </row>
    <row r="21" spans="1:3" x14ac:dyDescent="0.3">
      <c r="A21" t="s">
        <v>11</v>
      </c>
      <c r="B21">
        <v>1</v>
      </c>
      <c r="C21">
        <f t="shared" si="1"/>
        <v>1</v>
      </c>
    </row>
    <row r="22" spans="1:3" x14ac:dyDescent="0.3">
      <c r="A22" t="s">
        <v>12</v>
      </c>
      <c r="B22">
        <v>0</v>
      </c>
      <c r="C22">
        <f t="shared" si="1"/>
        <v>0</v>
      </c>
    </row>
    <row r="23" spans="1:3" x14ac:dyDescent="0.3">
      <c r="A23" t="s">
        <v>13</v>
      </c>
      <c r="B23">
        <v>1</v>
      </c>
      <c r="C23">
        <f t="shared" si="1"/>
        <v>1</v>
      </c>
    </row>
    <row r="24" spans="1:3" x14ac:dyDescent="0.3">
      <c r="A24" t="s">
        <v>14</v>
      </c>
      <c r="B24">
        <v>0</v>
      </c>
      <c r="C24">
        <f t="shared" si="1"/>
        <v>0</v>
      </c>
    </row>
    <row r="25" spans="1:3" x14ac:dyDescent="0.3">
      <c r="A25" t="s">
        <v>15</v>
      </c>
      <c r="B25">
        <v>1</v>
      </c>
      <c r="C25">
        <f t="shared" si="1"/>
        <v>1</v>
      </c>
    </row>
    <row r="26" spans="1:3" x14ac:dyDescent="0.3">
      <c r="A26" t="s">
        <v>16</v>
      </c>
      <c r="B26">
        <v>1</v>
      </c>
      <c r="C26">
        <f t="shared" si="1"/>
        <v>1</v>
      </c>
    </row>
    <row r="27" spans="1:3" x14ac:dyDescent="0.3">
      <c r="A27" t="s">
        <v>17</v>
      </c>
      <c r="B27">
        <v>1</v>
      </c>
      <c r="C27">
        <f t="shared" si="1"/>
        <v>1</v>
      </c>
    </row>
    <row r="28" spans="1:3" x14ac:dyDescent="0.3">
      <c r="A28" t="s">
        <v>18</v>
      </c>
      <c r="B28">
        <v>1</v>
      </c>
      <c r="C28">
        <f t="shared" si="1"/>
        <v>1</v>
      </c>
    </row>
    <row r="29" spans="1:3" x14ac:dyDescent="0.3">
      <c r="A29" t="s">
        <v>19</v>
      </c>
      <c r="B29">
        <v>1</v>
      </c>
      <c r="C29">
        <f t="shared" si="1"/>
        <v>1</v>
      </c>
    </row>
    <row r="30" spans="1:3" x14ac:dyDescent="0.3">
      <c r="A30" t="s">
        <v>20</v>
      </c>
      <c r="B30">
        <v>0.6961942835003434</v>
      </c>
      <c r="C30">
        <f t="shared" si="1"/>
        <v>1</v>
      </c>
    </row>
    <row r="31" spans="1:3" x14ac:dyDescent="0.3">
      <c r="A31" t="s">
        <v>21</v>
      </c>
      <c r="B31">
        <v>1</v>
      </c>
      <c r="C31">
        <f t="shared" si="1"/>
        <v>1</v>
      </c>
    </row>
    <row r="32" spans="1:3" x14ac:dyDescent="0.3">
      <c r="A32" t="s">
        <v>22</v>
      </c>
      <c r="B32">
        <v>1</v>
      </c>
      <c r="C32">
        <f t="shared" si="1"/>
        <v>1</v>
      </c>
    </row>
    <row r="33" spans="1:3" x14ac:dyDescent="0.3">
      <c r="A33" t="s">
        <v>23</v>
      </c>
      <c r="B33">
        <v>0.56189352447035135</v>
      </c>
      <c r="C33">
        <f t="shared" si="1"/>
        <v>1</v>
      </c>
    </row>
    <row r="34" spans="1:3" x14ac:dyDescent="0.3">
      <c r="A34" t="s">
        <v>24</v>
      </c>
      <c r="B34">
        <v>0</v>
      </c>
      <c r="C34">
        <f t="shared" si="1"/>
        <v>0</v>
      </c>
    </row>
    <row r="35" spans="1:3" x14ac:dyDescent="0.3">
      <c r="A35" t="s">
        <v>25</v>
      </c>
      <c r="B35">
        <v>1</v>
      </c>
      <c r="C35">
        <f t="shared" si="1"/>
        <v>1</v>
      </c>
    </row>
    <row r="36" spans="1:3" x14ac:dyDescent="0.3">
      <c r="A36" t="s">
        <v>26</v>
      </c>
      <c r="B36">
        <v>0</v>
      </c>
      <c r="C36">
        <f t="shared" si="1"/>
        <v>0</v>
      </c>
    </row>
    <row r="37" spans="1:3" x14ac:dyDescent="0.3">
      <c r="A37" t="s">
        <v>27</v>
      </c>
      <c r="B37">
        <v>1</v>
      </c>
      <c r="C37">
        <f t="shared" si="1"/>
        <v>1</v>
      </c>
    </row>
    <row r="38" spans="1:3" x14ac:dyDescent="0.3">
      <c r="A38" t="s">
        <v>28</v>
      </c>
      <c r="B38">
        <v>1</v>
      </c>
      <c r="C38">
        <f t="shared" si="1"/>
        <v>1</v>
      </c>
    </row>
    <row r="39" spans="1:3" x14ac:dyDescent="0.3">
      <c r="A39" t="s">
        <v>29</v>
      </c>
      <c r="B39">
        <v>1</v>
      </c>
      <c r="C39">
        <f t="shared" si="1"/>
        <v>1</v>
      </c>
    </row>
    <row r="40" spans="1:3" x14ac:dyDescent="0.3">
      <c r="A40" t="s">
        <v>30</v>
      </c>
      <c r="B40">
        <v>1</v>
      </c>
      <c r="C40">
        <f t="shared" si="1"/>
        <v>1</v>
      </c>
    </row>
    <row r="41" spans="1:3" x14ac:dyDescent="0.3">
      <c r="A41" t="s">
        <v>44</v>
      </c>
      <c r="B41">
        <v>1</v>
      </c>
      <c r="C41">
        <f t="shared" si="1"/>
        <v>1</v>
      </c>
    </row>
    <row r="42" spans="1:3" x14ac:dyDescent="0.3">
      <c r="A42" t="s">
        <v>45</v>
      </c>
      <c r="B42">
        <v>1</v>
      </c>
      <c r="C42">
        <f t="shared" si="1"/>
        <v>1</v>
      </c>
    </row>
    <row r="43" spans="1:3" x14ac:dyDescent="0.3">
      <c r="A43" t="s">
        <v>46</v>
      </c>
      <c r="B43">
        <v>1</v>
      </c>
      <c r="C43">
        <f t="shared" si="1"/>
        <v>1</v>
      </c>
    </row>
    <row r="44" spans="1:3" x14ac:dyDescent="0.3">
      <c r="A44" t="s">
        <v>47</v>
      </c>
      <c r="B44">
        <v>1</v>
      </c>
      <c r="C44">
        <f t="shared" si="1"/>
        <v>1</v>
      </c>
    </row>
    <row r="45" spans="1:3" x14ac:dyDescent="0.3">
      <c r="A45" t="s">
        <v>48</v>
      </c>
      <c r="B45">
        <v>0.29271965200852346</v>
      </c>
      <c r="C45">
        <f t="shared" si="1"/>
        <v>0</v>
      </c>
    </row>
    <row r="46" spans="1:3" x14ac:dyDescent="0.3">
      <c r="A46" t="s">
        <v>49</v>
      </c>
      <c r="B46">
        <v>1</v>
      </c>
      <c r="C46">
        <f t="shared" si="1"/>
        <v>1</v>
      </c>
    </row>
    <row r="47" spans="1:3" x14ac:dyDescent="0.3">
      <c r="A47" t="s">
        <v>50</v>
      </c>
      <c r="B47">
        <v>1</v>
      </c>
      <c r="C47">
        <f t="shared" si="1"/>
        <v>1</v>
      </c>
    </row>
    <row r="48" spans="1:3" x14ac:dyDescent="0.3">
      <c r="A48" t="s">
        <v>51</v>
      </c>
      <c r="B48">
        <v>1</v>
      </c>
      <c r="C48">
        <f t="shared" si="1"/>
        <v>1</v>
      </c>
    </row>
    <row r="49" spans="1:3" x14ac:dyDescent="0.3">
      <c r="A49" t="s">
        <v>52</v>
      </c>
      <c r="B49">
        <v>1</v>
      </c>
      <c r="C49">
        <f t="shared" si="1"/>
        <v>1</v>
      </c>
    </row>
    <row r="50" spans="1:3" x14ac:dyDescent="0.3">
      <c r="A50" t="s">
        <v>53</v>
      </c>
      <c r="B50">
        <v>1</v>
      </c>
      <c r="C50">
        <f t="shared" si="1"/>
        <v>1</v>
      </c>
    </row>
    <row r="51" spans="1:3" x14ac:dyDescent="0.3">
      <c r="A51" t="s">
        <v>54</v>
      </c>
      <c r="B51">
        <v>1</v>
      </c>
      <c r="C51">
        <f t="shared" si="1"/>
        <v>1</v>
      </c>
    </row>
    <row r="52" spans="1:3" x14ac:dyDescent="0.3">
      <c r="B52" cm="1">
        <f t="array" ref="B52">SUMPRODUCT($B$4:$AN$4,TRANSPOSE(B13:B51))</f>
        <v>10672.34587816776</v>
      </c>
      <c r="C52" cm="1">
        <f t="array" ref="C52">SUMPRODUCT($B$4:$AN$4,TRANSPOSE(C13:C51))</f>
        <v>11403</v>
      </c>
    </row>
  </sheetData>
  <mergeCells count="2">
    <mergeCell ref="A1:AO1"/>
    <mergeCell ref="A2:AO2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F439-A926-49DA-A1C6-1E327DBC35B5}">
  <dimension ref="A1:AP51"/>
  <sheetViews>
    <sheetView topLeftCell="A34" workbookViewId="0">
      <selection activeCell="B51" sqref="B51"/>
    </sheetView>
  </sheetViews>
  <sheetFormatPr defaultRowHeight="14.4" x14ac:dyDescent="0.3"/>
  <cols>
    <col min="41" max="41" width="11.33203125" bestFit="1" customWidth="1"/>
  </cols>
  <sheetData>
    <row r="1" spans="1:42" x14ac:dyDescent="0.3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2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2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44</v>
      </c>
      <c r="AE3" s="4" t="s">
        <v>45</v>
      </c>
      <c r="AF3" s="4" t="s">
        <v>46</v>
      </c>
      <c r="AG3" s="4" t="s">
        <v>47</v>
      </c>
      <c r="AH3" s="4" t="s">
        <v>48</v>
      </c>
      <c r="AI3" s="4" t="s">
        <v>49</v>
      </c>
      <c r="AJ3" s="4" t="s">
        <v>50</v>
      </c>
      <c r="AK3" s="4" t="s">
        <v>51</v>
      </c>
      <c r="AL3" s="4" t="s">
        <v>52</v>
      </c>
      <c r="AM3" s="4" t="s">
        <v>53</v>
      </c>
      <c r="AN3" s="4" t="s">
        <v>54</v>
      </c>
      <c r="AO3" s="4" t="s">
        <v>31</v>
      </c>
    </row>
    <row r="4" spans="1:42" x14ac:dyDescent="0.3">
      <c r="A4" s="5" t="s">
        <v>32</v>
      </c>
      <c r="B4" s="6">
        <v>560</v>
      </c>
      <c r="C4" s="6">
        <v>1125</v>
      </c>
      <c r="D4" s="6">
        <v>300</v>
      </c>
      <c r="E4" s="6">
        <v>620</v>
      </c>
      <c r="F4" s="6">
        <v>2100</v>
      </c>
      <c r="G4" s="6">
        <v>431</v>
      </c>
      <c r="H4" s="6">
        <v>68</v>
      </c>
      <c r="I4" s="6">
        <v>328</v>
      </c>
      <c r="J4" s="6">
        <v>47</v>
      </c>
      <c r="K4" s="6">
        <v>122</v>
      </c>
      <c r="L4" s="6">
        <v>322</v>
      </c>
      <c r="M4" s="6">
        <v>196</v>
      </c>
      <c r="N4" s="6">
        <v>41</v>
      </c>
      <c r="O4" s="6">
        <v>25</v>
      </c>
      <c r="P4" s="6">
        <v>425</v>
      </c>
      <c r="Q4" s="6">
        <v>4260</v>
      </c>
      <c r="R4" s="6">
        <v>416</v>
      </c>
      <c r="S4" s="6">
        <v>115</v>
      </c>
      <c r="T4" s="6">
        <v>82</v>
      </c>
      <c r="U4" s="6">
        <v>22</v>
      </c>
      <c r="V4" s="6">
        <v>631</v>
      </c>
      <c r="W4" s="6">
        <v>132</v>
      </c>
      <c r="X4" s="6">
        <v>420</v>
      </c>
      <c r="Y4" s="6">
        <v>86</v>
      </c>
      <c r="Z4" s="6">
        <v>42</v>
      </c>
      <c r="AA4" s="6">
        <v>103</v>
      </c>
      <c r="AB4" s="6">
        <v>215</v>
      </c>
      <c r="AC4" s="6">
        <v>81</v>
      </c>
      <c r="AD4" s="6">
        <v>91</v>
      </c>
      <c r="AE4" s="6">
        <v>26</v>
      </c>
      <c r="AF4" s="6">
        <v>49</v>
      </c>
      <c r="AG4" s="6">
        <v>420</v>
      </c>
      <c r="AH4" s="6">
        <v>316</v>
      </c>
      <c r="AI4" s="6">
        <v>72</v>
      </c>
      <c r="AJ4" s="6">
        <v>71</v>
      </c>
      <c r="AK4" s="6">
        <v>49</v>
      </c>
      <c r="AL4" s="6">
        <v>108</v>
      </c>
      <c r="AM4" s="6">
        <v>116</v>
      </c>
      <c r="AN4" s="6">
        <v>90</v>
      </c>
      <c r="AO4" s="7"/>
    </row>
    <row r="5" spans="1:42" x14ac:dyDescent="0.3">
      <c r="A5" s="8" t="s">
        <v>33</v>
      </c>
      <c r="B5" s="9">
        <v>40</v>
      </c>
      <c r="C5" s="9">
        <v>91</v>
      </c>
      <c r="D5" s="9">
        <v>10</v>
      </c>
      <c r="E5" s="9">
        <v>30</v>
      </c>
      <c r="F5" s="9">
        <v>160</v>
      </c>
      <c r="G5" s="9">
        <v>20</v>
      </c>
      <c r="H5" s="9">
        <v>3</v>
      </c>
      <c r="I5" s="9">
        <v>12</v>
      </c>
      <c r="J5" s="9">
        <v>3</v>
      </c>
      <c r="K5" s="9">
        <v>18</v>
      </c>
      <c r="L5" s="9">
        <v>9</v>
      </c>
      <c r="M5" s="9">
        <v>25</v>
      </c>
      <c r="N5" s="9">
        <v>1</v>
      </c>
      <c r="O5" s="9">
        <v>1</v>
      </c>
      <c r="P5" s="9">
        <v>10</v>
      </c>
      <c r="Q5" s="9">
        <v>280</v>
      </c>
      <c r="R5" s="9">
        <v>10</v>
      </c>
      <c r="S5" s="9">
        <v>8</v>
      </c>
      <c r="T5" s="9">
        <v>1</v>
      </c>
      <c r="U5" s="9">
        <v>1</v>
      </c>
      <c r="V5" s="9">
        <v>49</v>
      </c>
      <c r="W5" s="9">
        <v>8</v>
      </c>
      <c r="X5" s="9">
        <v>21</v>
      </c>
      <c r="Y5" s="9">
        <v>6</v>
      </c>
      <c r="Z5" s="9">
        <v>1</v>
      </c>
      <c r="AA5" s="9">
        <v>5</v>
      </c>
      <c r="AB5" s="9">
        <v>10</v>
      </c>
      <c r="AC5" s="9">
        <v>8</v>
      </c>
      <c r="AD5" s="9">
        <v>2</v>
      </c>
      <c r="AE5" s="9">
        <v>1</v>
      </c>
      <c r="AF5" s="9">
        <v>0</v>
      </c>
      <c r="AG5" s="9">
        <v>10</v>
      </c>
      <c r="AH5" s="9">
        <v>42</v>
      </c>
      <c r="AI5" s="9">
        <v>6</v>
      </c>
      <c r="AJ5" s="9">
        <v>4</v>
      </c>
      <c r="AK5" s="9">
        <v>8</v>
      </c>
      <c r="AL5" s="9">
        <v>0</v>
      </c>
      <c r="AM5" s="9">
        <v>10</v>
      </c>
      <c r="AN5" s="9">
        <v>1</v>
      </c>
      <c r="AO5" s="10">
        <v>600</v>
      </c>
      <c r="AP5" cm="1">
        <f t="array" ref="AP5">SUMPRODUCT(B5:AN5,TRANSPOSE($B$12:$B$50))</f>
        <v>597</v>
      </c>
    </row>
    <row r="6" spans="1:42" x14ac:dyDescent="0.3">
      <c r="A6" s="11" t="s">
        <v>34</v>
      </c>
      <c r="B6" s="12">
        <v>16</v>
      </c>
      <c r="C6" s="12">
        <v>92</v>
      </c>
      <c r="D6" s="12">
        <v>41</v>
      </c>
      <c r="E6" s="12">
        <v>16</v>
      </c>
      <c r="F6" s="12">
        <v>150</v>
      </c>
      <c r="G6" s="12">
        <v>23</v>
      </c>
      <c r="H6" s="12">
        <v>4</v>
      </c>
      <c r="I6" s="12">
        <v>18</v>
      </c>
      <c r="J6" s="12">
        <v>6</v>
      </c>
      <c r="K6" s="12">
        <v>0</v>
      </c>
      <c r="L6" s="12">
        <v>12</v>
      </c>
      <c r="M6" s="12">
        <v>8</v>
      </c>
      <c r="N6" s="12">
        <v>2</v>
      </c>
      <c r="O6" s="12">
        <v>1</v>
      </c>
      <c r="P6" s="12">
        <v>0</v>
      </c>
      <c r="Q6" s="12">
        <v>200</v>
      </c>
      <c r="R6" s="12">
        <v>20</v>
      </c>
      <c r="S6" s="12">
        <v>6</v>
      </c>
      <c r="T6" s="12">
        <v>2</v>
      </c>
      <c r="U6" s="12">
        <v>1</v>
      </c>
      <c r="V6" s="12">
        <v>70</v>
      </c>
      <c r="W6" s="12">
        <v>9</v>
      </c>
      <c r="X6" s="12">
        <v>22</v>
      </c>
      <c r="Y6" s="12">
        <v>4</v>
      </c>
      <c r="Z6" s="12">
        <v>1</v>
      </c>
      <c r="AA6" s="12">
        <v>5</v>
      </c>
      <c r="AB6" s="12">
        <v>10</v>
      </c>
      <c r="AC6" s="12">
        <v>6</v>
      </c>
      <c r="AD6" s="12">
        <v>4</v>
      </c>
      <c r="AE6" s="12">
        <v>0</v>
      </c>
      <c r="AF6" s="12">
        <v>4</v>
      </c>
      <c r="AG6" s="12">
        <v>12</v>
      </c>
      <c r="AH6" s="12">
        <v>8</v>
      </c>
      <c r="AI6" s="12">
        <v>4</v>
      </c>
      <c r="AJ6" s="12">
        <v>3</v>
      </c>
      <c r="AK6" s="12">
        <v>0</v>
      </c>
      <c r="AL6" s="12">
        <v>10</v>
      </c>
      <c r="AM6" s="12">
        <v>0</v>
      </c>
      <c r="AN6" s="12">
        <v>6</v>
      </c>
      <c r="AO6" s="10">
        <v>500</v>
      </c>
      <c r="AP6" cm="1">
        <f t="array" ref="AP6">SUMPRODUCT(B6:AN6,TRANSPOSE($B$12:$B$50))</f>
        <v>496</v>
      </c>
    </row>
    <row r="7" spans="1:42" x14ac:dyDescent="0.3">
      <c r="A7" s="8" t="s">
        <v>35</v>
      </c>
      <c r="B7" s="9">
        <v>38</v>
      </c>
      <c r="C7" s="9">
        <v>39</v>
      </c>
      <c r="D7" s="9">
        <v>32</v>
      </c>
      <c r="E7" s="9">
        <v>71</v>
      </c>
      <c r="F7" s="9">
        <v>80</v>
      </c>
      <c r="G7" s="9">
        <v>26</v>
      </c>
      <c r="H7" s="9">
        <v>5</v>
      </c>
      <c r="I7" s="9">
        <v>40</v>
      </c>
      <c r="J7" s="9">
        <v>8</v>
      </c>
      <c r="K7" s="9">
        <v>12</v>
      </c>
      <c r="L7" s="9">
        <v>30</v>
      </c>
      <c r="M7" s="9">
        <v>15</v>
      </c>
      <c r="N7" s="9">
        <v>0</v>
      </c>
      <c r="O7" s="9">
        <v>1</v>
      </c>
      <c r="P7" s="9">
        <v>23</v>
      </c>
      <c r="Q7" s="9">
        <v>100</v>
      </c>
      <c r="R7" s="9">
        <v>0</v>
      </c>
      <c r="S7" s="9">
        <v>20</v>
      </c>
      <c r="T7" s="9">
        <v>3</v>
      </c>
      <c r="U7" s="9">
        <v>0</v>
      </c>
      <c r="V7" s="9">
        <v>40</v>
      </c>
      <c r="W7" s="9">
        <v>6</v>
      </c>
      <c r="X7" s="9">
        <v>8</v>
      </c>
      <c r="Y7" s="9">
        <v>0</v>
      </c>
      <c r="Z7" s="9">
        <v>6</v>
      </c>
      <c r="AA7" s="9">
        <v>4</v>
      </c>
      <c r="AB7" s="9">
        <v>22</v>
      </c>
      <c r="AC7" s="9">
        <v>4</v>
      </c>
      <c r="AD7" s="9">
        <v>6</v>
      </c>
      <c r="AE7" s="9">
        <v>1</v>
      </c>
      <c r="AF7" s="9">
        <v>5</v>
      </c>
      <c r="AG7" s="9">
        <v>14</v>
      </c>
      <c r="AH7" s="9">
        <v>8</v>
      </c>
      <c r="AI7" s="9">
        <v>2</v>
      </c>
      <c r="AJ7" s="9">
        <v>8</v>
      </c>
      <c r="AK7" s="9">
        <v>0</v>
      </c>
      <c r="AL7" s="9">
        <v>20</v>
      </c>
      <c r="AM7" s="9">
        <v>0</v>
      </c>
      <c r="AN7" s="9">
        <v>0</v>
      </c>
      <c r="AO7" s="10">
        <v>500</v>
      </c>
      <c r="AP7" cm="1">
        <f t="array" ref="AP7">SUMPRODUCT(B7:AN7,TRANSPOSE($B$12:$B$50))</f>
        <v>493</v>
      </c>
    </row>
    <row r="8" spans="1:42" x14ac:dyDescent="0.3">
      <c r="A8" s="11" t="s">
        <v>36</v>
      </c>
      <c r="B8" s="12">
        <v>8</v>
      </c>
      <c r="C8" s="12">
        <v>71</v>
      </c>
      <c r="D8" s="12">
        <v>30</v>
      </c>
      <c r="E8" s="12">
        <v>60</v>
      </c>
      <c r="F8" s="12">
        <v>200</v>
      </c>
      <c r="G8" s="12">
        <v>18</v>
      </c>
      <c r="H8" s="12">
        <v>6</v>
      </c>
      <c r="I8" s="12">
        <v>30</v>
      </c>
      <c r="J8" s="12">
        <v>4</v>
      </c>
      <c r="K8" s="12">
        <v>8</v>
      </c>
      <c r="L8" s="12">
        <v>31</v>
      </c>
      <c r="M8" s="12">
        <v>6</v>
      </c>
      <c r="N8" s="12">
        <v>3</v>
      </c>
      <c r="O8" s="12">
        <v>0</v>
      </c>
      <c r="P8" s="12">
        <v>18</v>
      </c>
      <c r="Q8" s="12">
        <v>60</v>
      </c>
      <c r="R8" s="12">
        <v>21</v>
      </c>
      <c r="S8" s="12">
        <v>4</v>
      </c>
      <c r="T8" s="12">
        <v>0</v>
      </c>
      <c r="U8" s="12">
        <v>2</v>
      </c>
      <c r="V8" s="12">
        <v>32</v>
      </c>
      <c r="W8" s="12">
        <v>15</v>
      </c>
      <c r="X8" s="12">
        <v>31</v>
      </c>
      <c r="Y8" s="12">
        <v>2</v>
      </c>
      <c r="Z8" s="12">
        <v>2</v>
      </c>
      <c r="AA8" s="12">
        <v>7</v>
      </c>
      <c r="AB8" s="12">
        <v>8</v>
      </c>
      <c r="AC8" s="12">
        <v>2</v>
      </c>
      <c r="AD8" s="12">
        <v>8</v>
      </c>
      <c r="AE8" s="12">
        <v>0</v>
      </c>
      <c r="AF8" s="12">
        <v>2</v>
      </c>
      <c r="AG8" s="12">
        <v>8</v>
      </c>
      <c r="AH8" s="12">
        <v>6</v>
      </c>
      <c r="AI8" s="12">
        <v>7</v>
      </c>
      <c r="AJ8" s="12">
        <v>1</v>
      </c>
      <c r="AK8" s="12">
        <v>0</v>
      </c>
      <c r="AL8" s="12">
        <v>0</v>
      </c>
      <c r="AM8" s="12">
        <v>20</v>
      </c>
      <c r="AN8" s="12">
        <v>8</v>
      </c>
      <c r="AO8" s="10">
        <v>500</v>
      </c>
      <c r="AP8" cm="1">
        <f t="array" ref="AP8">SUMPRODUCT(B8:AN8,TRANSPOSE($B$12:$B$50))</f>
        <v>427</v>
      </c>
    </row>
    <row r="9" spans="1:42" x14ac:dyDescent="0.3">
      <c r="A9" s="8" t="s">
        <v>37</v>
      </c>
      <c r="B9" s="9">
        <v>38</v>
      </c>
      <c r="C9" s="9">
        <v>52</v>
      </c>
      <c r="D9" s="9">
        <v>30</v>
      </c>
      <c r="E9" s="9">
        <v>42</v>
      </c>
      <c r="F9" s="9">
        <v>170</v>
      </c>
      <c r="G9" s="9">
        <v>9</v>
      </c>
      <c r="H9" s="9">
        <v>7</v>
      </c>
      <c r="I9" s="9">
        <v>20</v>
      </c>
      <c r="J9" s="9">
        <v>0</v>
      </c>
      <c r="K9" s="9">
        <v>3</v>
      </c>
      <c r="L9" s="9">
        <v>21</v>
      </c>
      <c r="M9" s="9">
        <v>4</v>
      </c>
      <c r="N9" s="9">
        <v>1</v>
      </c>
      <c r="O9" s="9">
        <v>2</v>
      </c>
      <c r="P9" s="9">
        <v>14</v>
      </c>
      <c r="Q9" s="9">
        <v>310</v>
      </c>
      <c r="R9" s="9">
        <v>8</v>
      </c>
      <c r="S9" s="9">
        <v>4</v>
      </c>
      <c r="T9" s="9">
        <v>6</v>
      </c>
      <c r="U9" s="9">
        <v>1</v>
      </c>
      <c r="V9" s="9">
        <v>18</v>
      </c>
      <c r="W9" s="9">
        <v>15</v>
      </c>
      <c r="X9" s="9">
        <v>38</v>
      </c>
      <c r="Y9" s="9">
        <v>10</v>
      </c>
      <c r="Z9" s="9">
        <v>4</v>
      </c>
      <c r="AA9" s="9">
        <v>8</v>
      </c>
      <c r="AB9" s="9">
        <v>6</v>
      </c>
      <c r="AC9" s="9">
        <v>0</v>
      </c>
      <c r="AD9" s="9">
        <v>0</v>
      </c>
      <c r="AE9" s="9">
        <v>3</v>
      </c>
      <c r="AF9" s="9">
        <v>0</v>
      </c>
      <c r="AG9" s="9">
        <v>10</v>
      </c>
      <c r="AH9" s="9">
        <v>6</v>
      </c>
      <c r="AI9" s="9">
        <v>1</v>
      </c>
      <c r="AJ9" s="9">
        <v>3</v>
      </c>
      <c r="AK9" s="9">
        <v>0</v>
      </c>
      <c r="AL9" s="9">
        <v>3</v>
      </c>
      <c r="AM9" s="9">
        <v>5</v>
      </c>
      <c r="AN9" s="9">
        <v>4</v>
      </c>
      <c r="AO9" s="10">
        <v>600</v>
      </c>
      <c r="AP9" cm="1">
        <f t="array" ref="AP9">SUMPRODUCT(B9:AN9,TRANSPOSE($B$12:$B$50))</f>
        <v>600</v>
      </c>
    </row>
    <row r="12" spans="1:42" x14ac:dyDescent="0.3">
      <c r="A12" t="s">
        <v>3</v>
      </c>
      <c r="B12">
        <v>1</v>
      </c>
    </row>
    <row r="13" spans="1:42" x14ac:dyDescent="0.3">
      <c r="A13" t="s">
        <v>4</v>
      </c>
      <c r="B13">
        <v>1</v>
      </c>
    </row>
    <row r="14" spans="1:42" x14ac:dyDescent="0.3">
      <c r="A14" t="s">
        <v>5</v>
      </c>
      <c r="B14">
        <v>0</v>
      </c>
    </row>
    <row r="15" spans="1:42" x14ac:dyDescent="0.3">
      <c r="A15" t="s">
        <v>6</v>
      </c>
      <c r="B15">
        <v>1</v>
      </c>
    </row>
    <row r="16" spans="1:42" x14ac:dyDescent="0.3">
      <c r="A16" t="s">
        <v>7</v>
      </c>
      <c r="B16">
        <v>0</v>
      </c>
    </row>
    <row r="17" spans="1:2" x14ac:dyDescent="0.3">
      <c r="A17" t="s">
        <v>8</v>
      </c>
      <c r="B17">
        <v>1</v>
      </c>
    </row>
    <row r="18" spans="1:2" x14ac:dyDescent="0.3">
      <c r="A18" t="s">
        <v>9</v>
      </c>
      <c r="B18">
        <v>0</v>
      </c>
    </row>
    <row r="19" spans="1:2" x14ac:dyDescent="0.3">
      <c r="A19" t="s">
        <v>10</v>
      </c>
      <c r="B19">
        <v>1</v>
      </c>
    </row>
    <row r="20" spans="1:2" x14ac:dyDescent="0.3">
      <c r="A20" t="s">
        <v>11</v>
      </c>
      <c r="B20">
        <v>1</v>
      </c>
    </row>
    <row r="21" spans="1:2" x14ac:dyDescent="0.3">
      <c r="A21" t="s">
        <v>12</v>
      </c>
      <c r="B21">
        <v>0</v>
      </c>
    </row>
    <row r="22" spans="1:2" x14ac:dyDescent="0.3">
      <c r="A22" t="s">
        <v>13</v>
      </c>
      <c r="B22">
        <v>1</v>
      </c>
    </row>
    <row r="23" spans="1:2" x14ac:dyDescent="0.3">
      <c r="A23" t="s">
        <v>14</v>
      </c>
      <c r="B23">
        <v>0</v>
      </c>
    </row>
    <row r="24" spans="1:2" x14ac:dyDescent="0.3">
      <c r="A24" t="s">
        <v>15</v>
      </c>
      <c r="B24">
        <v>1</v>
      </c>
    </row>
    <row r="25" spans="1:2" x14ac:dyDescent="0.3">
      <c r="A25" t="s">
        <v>16</v>
      </c>
      <c r="B25">
        <v>0</v>
      </c>
    </row>
    <row r="26" spans="1:2" x14ac:dyDescent="0.3">
      <c r="A26" t="s">
        <v>17</v>
      </c>
      <c r="B26">
        <v>1</v>
      </c>
    </row>
    <row r="27" spans="1:2" x14ac:dyDescent="0.3">
      <c r="A27" t="s">
        <v>18</v>
      </c>
      <c r="B27">
        <v>1</v>
      </c>
    </row>
    <row r="28" spans="1:2" x14ac:dyDescent="0.3">
      <c r="A28" t="s">
        <v>19</v>
      </c>
      <c r="B28">
        <v>1</v>
      </c>
    </row>
    <row r="29" spans="1:2" x14ac:dyDescent="0.3">
      <c r="A29" t="s">
        <v>20</v>
      </c>
      <c r="B29">
        <v>1</v>
      </c>
    </row>
    <row r="30" spans="1:2" x14ac:dyDescent="0.3">
      <c r="A30" t="s">
        <v>21</v>
      </c>
      <c r="B30">
        <v>1</v>
      </c>
    </row>
    <row r="31" spans="1:2" x14ac:dyDescent="0.3">
      <c r="A31" t="s">
        <v>22</v>
      </c>
      <c r="B31">
        <v>1</v>
      </c>
    </row>
    <row r="32" spans="1:2" x14ac:dyDescent="0.3">
      <c r="A32" t="s">
        <v>23</v>
      </c>
      <c r="B32">
        <v>0</v>
      </c>
    </row>
    <row r="33" spans="1:2" x14ac:dyDescent="0.3">
      <c r="A33" t="s">
        <v>24</v>
      </c>
      <c r="B33">
        <v>0</v>
      </c>
    </row>
    <row r="34" spans="1:2" x14ac:dyDescent="0.3">
      <c r="A34" t="s">
        <v>25</v>
      </c>
      <c r="B34">
        <v>1</v>
      </c>
    </row>
    <row r="35" spans="1:2" x14ac:dyDescent="0.3">
      <c r="A35" t="s">
        <v>26</v>
      </c>
      <c r="B35">
        <v>0</v>
      </c>
    </row>
    <row r="36" spans="1:2" x14ac:dyDescent="0.3">
      <c r="A36" t="s">
        <v>27</v>
      </c>
      <c r="B36">
        <v>1</v>
      </c>
    </row>
    <row r="37" spans="1:2" x14ac:dyDescent="0.3">
      <c r="A37" t="s">
        <v>28</v>
      </c>
      <c r="B37">
        <v>0</v>
      </c>
    </row>
    <row r="38" spans="1:2" x14ac:dyDescent="0.3">
      <c r="A38" t="s">
        <v>29</v>
      </c>
      <c r="B38">
        <v>1</v>
      </c>
    </row>
    <row r="39" spans="1:2" x14ac:dyDescent="0.3">
      <c r="A39" t="s">
        <v>30</v>
      </c>
      <c r="B39">
        <v>1</v>
      </c>
    </row>
    <row r="40" spans="1:2" x14ac:dyDescent="0.3">
      <c r="A40" t="s">
        <v>44</v>
      </c>
      <c r="B40">
        <v>1</v>
      </c>
    </row>
    <row r="41" spans="1:2" x14ac:dyDescent="0.3">
      <c r="A41" t="s">
        <v>45</v>
      </c>
      <c r="B41">
        <v>0</v>
      </c>
    </row>
    <row r="42" spans="1:2" x14ac:dyDescent="0.3">
      <c r="A42" t="s">
        <v>46</v>
      </c>
      <c r="B42">
        <v>1</v>
      </c>
    </row>
    <row r="43" spans="1:2" x14ac:dyDescent="0.3">
      <c r="A43" t="s">
        <v>47</v>
      </c>
      <c r="B43">
        <v>1</v>
      </c>
    </row>
    <row r="44" spans="1:2" x14ac:dyDescent="0.3">
      <c r="A44" t="s">
        <v>48</v>
      </c>
      <c r="B44">
        <v>0</v>
      </c>
    </row>
    <row r="45" spans="1:2" x14ac:dyDescent="0.3">
      <c r="A45" t="s">
        <v>49</v>
      </c>
      <c r="B45">
        <v>1</v>
      </c>
    </row>
    <row r="46" spans="1:2" x14ac:dyDescent="0.3">
      <c r="A46" t="s">
        <v>50</v>
      </c>
      <c r="B46">
        <v>1</v>
      </c>
    </row>
    <row r="47" spans="1:2" x14ac:dyDescent="0.3">
      <c r="A47" t="s">
        <v>51</v>
      </c>
      <c r="B47">
        <v>1</v>
      </c>
    </row>
    <row r="48" spans="1:2" x14ac:dyDescent="0.3">
      <c r="A48" t="s">
        <v>52</v>
      </c>
      <c r="B48">
        <v>1</v>
      </c>
    </row>
    <row r="49" spans="1:2" x14ac:dyDescent="0.3">
      <c r="A49" t="s">
        <v>53</v>
      </c>
      <c r="B49">
        <v>1</v>
      </c>
    </row>
    <row r="50" spans="1:2" x14ac:dyDescent="0.3">
      <c r="A50" t="s">
        <v>54</v>
      </c>
      <c r="B50">
        <v>1</v>
      </c>
    </row>
    <row r="51" spans="1:2" x14ac:dyDescent="0.3">
      <c r="B51" cm="1">
        <f t="array" ref="B51">SUMPRODUCT(B4:AN4,TRANSPOSE(B12:B50))</f>
        <v>10618</v>
      </c>
    </row>
  </sheetData>
  <mergeCells count="2">
    <mergeCell ref="A1:AO1"/>
    <mergeCell ref="A2:AO2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4EF2-410C-4065-A9C1-7E791CD27297}">
  <dimension ref="A1:BC63"/>
  <sheetViews>
    <sheetView topLeftCell="A2" workbookViewId="0">
      <selection activeCell="C63" sqref="C63"/>
    </sheetView>
  </sheetViews>
  <sheetFormatPr defaultRowHeight="14.4" x14ac:dyDescent="0.3"/>
  <cols>
    <col min="52" max="52" width="11.33203125" bestFit="1" customWidth="1"/>
  </cols>
  <sheetData>
    <row r="1" spans="1:55" x14ac:dyDescent="0.3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5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5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44</v>
      </c>
      <c r="AE3" s="4" t="s">
        <v>45</v>
      </c>
      <c r="AF3" s="4" t="s">
        <v>46</v>
      </c>
      <c r="AG3" s="4" t="s">
        <v>47</v>
      </c>
      <c r="AH3" s="4" t="s">
        <v>48</v>
      </c>
      <c r="AI3" s="4" t="s">
        <v>49</v>
      </c>
      <c r="AJ3" s="4" t="s">
        <v>50</v>
      </c>
      <c r="AK3" s="4" t="s">
        <v>51</v>
      </c>
      <c r="AL3" s="4" t="s">
        <v>52</v>
      </c>
      <c r="AM3" s="4" t="s">
        <v>53</v>
      </c>
      <c r="AN3" s="4" t="s">
        <v>54</v>
      </c>
      <c r="AO3" s="4" t="s">
        <v>56</v>
      </c>
      <c r="AP3" s="4" t="s">
        <v>57</v>
      </c>
      <c r="AQ3" s="4" t="s">
        <v>58</v>
      </c>
      <c r="AR3" s="4" t="s">
        <v>59</v>
      </c>
      <c r="AS3" s="4" t="s">
        <v>60</v>
      </c>
      <c r="AT3" s="4" t="s">
        <v>61</v>
      </c>
      <c r="AU3" s="4" t="s">
        <v>62</v>
      </c>
      <c r="AV3" s="4" t="s">
        <v>63</v>
      </c>
      <c r="AW3" s="4" t="s">
        <v>64</v>
      </c>
      <c r="AX3" s="4" t="s">
        <v>65</v>
      </c>
      <c r="AY3" s="4" t="s">
        <v>66</v>
      </c>
      <c r="AZ3" s="4" t="s">
        <v>31</v>
      </c>
    </row>
    <row r="4" spans="1:55" x14ac:dyDescent="0.3">
      <c r="A4" s="5" t="s">
        <v>32</v>
      </c>
      <c r="B4" s="6">
        <v>560</v>
      </c>
      <c r="C4" s="6">
        <v>1125</v>
      </c>
      <c r="D4" s="6">
        <v>300</v>
      </c>
      <c r="E4" s="6">
        <v>620</v>
      </c>
      <c r="F4" s="6">
        <v>2100</v>
      </c>
      <c r="G4" s="6">
        <v>431</v>
      </c>
      <c r="H4" s="6">
        <v>68</v>
      </c>
      <c r="I4" s="6">
        <v>328</v>
      </c>
      <c r="J4" s="6">
        <v>47</v>
      </c>
      <c r="K4" s="6">
        <v>122</v>
      </c>
      <c r="L4" s="6">
        <v>322</v>
      </c>
      <c r="M4" s="6">
        <v>196</v>
      </c>
      <c r="N4" s="6">
        <v>41</v>
      </c>
      <c r="O4" s="6">
        <v>25</v>
      </c>
      <c r="P4" s="6">
        <v>425</v>
      </c>
      <c r="Q4" s="6">
        <v>4260</v>
      </c>
      <c r="R4" s="6">
        <v>416</v>
      </c>
      <c r="S4" s="6">
        <v>115</v>
      </c>
      <c r="T4" s="6">
        <v>82</v>
      </c>
      <c r="U4" s="6">
        <v>22</v>
      </c>
      <c r="V4" s="6">
        <v>631</v>
      </c>
      <c r="W4" s="6">
        <v>132</v>
      </c>
      <c r="X4" s="6">
        <v>420</v>
      </c>
      <c r="Y4" s="6">
        <v>86</v>
      </c>
      <c r="Z4" s="6">
        <v>42</v>
      </c>
      <c r="AA4" s="6">
        <v>103</v>
      </c>
      <c r="AB4" s="6">
        <v>215</v>
      </c>
      <c r="AC4" s="6">
        <v>81</v>
      </c>
      <c r="AD4" s="6">
        <v>91</v>
      </c>
      <c r="AE4" s="6">
        <v>26</v>
      </c>
      <c r="AF4" s="6">
        <v>49</v>
      </c>
      <c r="AG4" s="6">
        <v>420</v>
      </c>
      <c r="AH4" s="6">
        <v>316</v>
      </c>
      <c r="AI4" s="6">
        <v>72</v>
      </c>
      <c r="AJ4" s="6">
        <v>71</v>
      </c>
      <c r="AK4" s="6">
        <v>49</v>
      </c>
      <c r="AL4" s="6">
        <v>108</v>
      </c>
      <c r="AM4" s="6">
        <v>116</v>
      </c>
      <c r="AN4" s="6">
        <v>90</v>
      </c>
      <c r="AO4" s="6">
        <v>738</v>
      </c>
      <c r="AP4" s="6">
        <v>1811</v>
      </c>
      <c r="AQ4" s="6">
        <v>430</v>
      </c>
      <c r="AR4" s="6">
        <v>3060</v>
      </c>
      <c r="AS4" s="6">
        <v>215</v>
      </c>
      <c r="AT4" s="6">
        <v>58</v>
      </c>
      <c r="AU4" s="6">
        <v>296</v>
      </c>
      <c r="AV4" s="6">
        <v>620</v>
      </c>
      <c r="AW4" s="6">
        <v>418</v>
      </c>
      <c r="AX4" s="6">
        <v>47</v>
      </c>
      <c r="AY4" s="6">
        <v>81</v>
      </c>
      <c r="AZ4" s="7"/>
    </row>
    <row r="5" spans="1:55" x14ac:dyDescent="0.3">
      <c r="A5" s="8" t="s">
        <v>33</v>
      </c>
      <c r="B5" s="9">
        <v>40</v>
      </c>
      <c r="C5" s="9">
        <v>91</v>
      </c>
      <c r="D5" s="9">
        <v>10</v>
      </c>
      <c r="E5" s="9">
        <v>30</v>
      </c>
      <c r="F5" s="9">
        <v>160</v>
      </c>
      <c r="G5" s="9">
        <v>20</v>
      </c>
      <c r="H5" s="9">
        <v>3</v>
      </c>
      <c r="I5" s="9">
        <v>12</v>
      </c>
      <c r="J5" s="9">
        <v>3</v>
      </c>
      <c r="K5" s="9">
        <v>18</v>
      </c>
      <c r="L5" s="9">
        <v>9</v>
      </c>
      <c r="M5" s="9">
        <v>25</v>
      </c>
      <c r="N5" s="9">
        <v>1</v>
      </c>
      <c r="O5" s="9">
        <v>1</v>
      </c>
      <c r="P5" s="9">
        <v>10</v>
      </c>
      <c r="Q5" s="9">
        <v>280</v>
      </c>
      <c r="R5" s="9">
        <v>10</v>
      </c>
      <c r="S5" s="9">
        <v>8</v>
      </c>
      <c r="T5" s="9">
        <v>1</v>
      </c>
      <c r="U5" s="9">
        <v>1</v>
      </c>
      <c r="V5" s="9">
        <v>49</v>
      </c>
      <c r="W5" s="9">
        <v>8</v>
      </c>
      <c r="X5" s="9">
        <v>21</v>
      </c>
      <c r="Y5" s="9">
        <v>6</v>
      </c>
      <c r="Z5" s="9">
        <v>1</v>
      </c>
      <c r="AA5" s="9">
        <v>5</v>
      </c>
      <c r="AB5" s="9">
        <v>10</v>
      </c>
      <c r="AC5" s="9">
        <v>8</v>
      </c>
      <c r="AD5" s="9">
        <v>2</v>
      </c>
      <c r="AE5" s="9">
        <v>1</v>
      </c>
      <c r="AF5" s="9">
        <v>0</v>
      </c>
      <c r="AG5" s="9">
        <v>10</v>
      </c>
      <c r="AH5" s="9">
        <v>42</v>
      </c>
      <c r="AI5" s="9">
        <v>6</v>
      </c>
      <c r="AJ5" s="9">
        <v>4</v>
      </c>
      <c r="AK5" s="9">
        <v>8</v>
      </c>
      <c r="AL5" s="9">
        <v>0</v>
      </c>
      <c r="AM5" s="9">
        <v>10</v>
      </c>
      <c r="AN5" s="9">
        <v>1</v>
      </c>
      <c r="AO5" s="9">
        <v>40</v>
      </c>
      <c r="AP5" s="9">
        <v>86</v>
      </c>
      <c r="AQ5" s="9">
        <v>11</v>
      </c>
      <c r="AR5" s="9">
        <v>120</v>
      </c>
      <c r="AS5" s="9">
        <v>8</v>
      </c>
      <c r="AT5" s="9">
        <v>3</v>
      </c>
      <c r="AU5" s="9">
        <v>32</v>
      </c>
      <c r="AV5" s="9">
        <v>28</v>
      </c>
      <c r="AW5" s="9">
        <v>13</v>
      </c>
      <c r="AX5" s="9">
        <v>2</v>
      </c>
      <c r="AY5" s="9">
        <v>4</v>
      </c>
      <c r="AZ5" s="10">
        <v>800</v>
      </c>
      <c r="BA5" cm="1">
        <f t="array" ref="BA5">SUMPRODUCT(B5:AY5,TRANSPOSE(B$13:$B$62))</f>
        <v>800</v>
      </c>
      <c r="BB5" cm="1">
        <f t="array" ref="BB5">SUMPRODUCT(B5:AY5,TRANSPOSE($C$13:$C$62))</f>
        <v>772</v>
      </c>
      <c r="BC5" t="str">
        <f>IF(AZ5&gt;=BB5,"f","nf")</f>
        <v>f</v>
      </c>
    </row>
    <row r="6" spans="1:55" x14ac:dyDescent="0.3">
      <c r="A6" s="11" t="s">
        <v>34</v>
      </c>
      <c r="B6" s="12">
        <v>16</v>
      </c>
      <c r="C6" s="12">
        <v>92</v>
      </c>
      <c r="D6" s="12">
        <v>41</v>
      </c>
      <c r="E6" s="12">
        <v>16</v>
      </c>
      <c r="F6" s="12">
        <v>150</v>
      </c>
      <c r="G6" s="12">
        <v>23</v>
      </c>
      <c r="H6" s="12">
        <v>4</v>
      </c>
      <c r="I6" s="12">
        <v>18</v>
      </c>
      <c r="J6" s="12">
        <v>6</v>
      </c>
      <c r="K6" s="12">
        <v>0</v>
      </c>
      <c r="L6" s="12">
        <v>12</v>
      </c>
      <c r="M6" s="12">
        <v>8</v>
      </c>
      <c r="N6" s="12">
        <v>2</v>
      </c>
      <c r="O6" s="12">
        <v>1</v>
      </c>
      <c r="P6" s="12">
        <v>0</v>
      </c>
      <c r="Q6" s="12">
        <v>200</v>
      </c>
      <c r="R6" s="12">
        <v>20</v>
      </c>
      <c r="S6" s="12">
        <v>6</v>
      </c>
      <c r="T6" s="12">
        <v>2</v>
      </c>
      <c r="U6" s="12">
        <v>1</v>
      </c>
      <c r="V6" s="12">
        <v>70</v>
      </c>
      <c r="W6" s="12">
        <v>9</v>
      </c>
      <c r="X6" s="12">
        <v>22</v>
      </c>
      <c r="Y6" s="12">
        <v>4</v>
      </c>
      <c r="Z6" s="12">
        <v>1</v>
      </c>
      <c r="AA6" s="12">
        <v>5</v>
      </c>
      <c r="AB6" s="12">
        <v>10</v>
      </c>
      <c r="AC6" s="12">
        <v>6</v>
      </c>
      <c r="AD6" s="12">
        <v>4</v>
      </c>
      <c r="AE6" s="12">
        <v>0</v>
      </c>
      <c r="AF6" s="12">
        <v>4</v>
      </c>
      <c r="AG6" s="12">
        <v>12</v>
      </c>
      <c r="AH6" s="12">
        <v>8</v>
      </c>
      <c r="AI6" s="12">
        <v>4</v>
      </c>
      <c r="AJ6" s="12">
        <v>3</v>
      </c>
      <c r="AK6" s="12">
        <v>0</v>
      </c>
      <c r="AL6" s="12">
        <v>10</v>
      </c>
      <c r="AM6" s="12">
        <v>0</v>
      </c>
      <c r="AN6" s="12">
        <v>6</v>
      </c>
      <c r="AO6" s="12">
        <v>28</v>
      </c>
      <c r="AP6" s="12">
        <v>93</v>
      </c>
      <c r="AQ6" s="12">
        <v>9</v>
      </c>
      <c r="AR6" s="12">
        <v>30</v>
      </c>
      <c r="AS6" s="12">
        <v>22</v>
      </c>
      <c r="AT6" s="12">
        <v>0</v>
      </c>
      <c r="AU6" s="12">
        <v>36</v>
      </c>
      <c r="AV6" s="12">
        <v>45</v>
      </c>
      <c r="AW6" s="12">
        <v>13</v>
      </c>
      <c r="AX6" s="12">
        <v>2</v>
      </c>
      <c r="AY6" s="12">
        <v>2</v>
      </c>
      <c r="AZ6" s="10">
        <v>650</v>
      </c>
      <c r="BA6" cm="1">
        <f t="array" ref="BA6">SUMPRODUCT(B6:AY6,TRANSPOSE(B$13:$B$62))</f>
        <v>650</v>
      </c>
      <c r="BB6" cm="1">
        <f t="array" ref="BB6">SUMPRODUCT(B6:AY6,TRANSPOSE($C$13:$C$62))</f>
        <v>610</v>
      </c>
      <c r="BC6" t="str">
        <f t="shared" ref="BC6:BC9" si="0">IF(AZ6&gt;=BB6,"f","nf")</f>
        <v>f</v>
      </c>
    </row>
    <row r="7" spans="1:55" x14ac:dyDescent="0.3">
      <c r="A7" s="8" t="s">
        <v>35</v>
      </c>
      <c r="B7" s="9">
        <v>38</v>
      </c>
      <c r="C7" s="9">
        <v>39</v>
      </c>
      <c r="D7" s="9">
        <v>32</v>
      </c>
      <c r="E7" s="9">
        <v>71</v>
      </c>
      <c r="F7" s="9">
        <v>80</v>
      </c>
      <c r="G7" s="9">
        <v>26</v>
      </c>
      <c r="H7" s="9">
        <v>5</v>
      </c>
      <c r="I7" s="9">
        <v>40</v>
      </c>
      <c r="J7" s="9">
        <v>8</v>
      </c>
      <c r="K7" s="9">
        <v>12</v>
      </c>
      <c r="L7" s="9">
        <v>30</v>
      </c>
      <c r="M7" s="9">
        <v>15</v>
      </c>
      <c r="N7" s="9">
        <v>0</v>
      </c>
      <c r="O7" s="9">
        <v>1</v>
      </c>
      <c r="P7" s="9">
        <v>23</v>
      </c>
      <c r="Q7" s="9">
        <v>100</v>
      </c>
      <c r="R7" s="9">
        <v>0</v>
      </c>
      <c r="S7" s="9">
        <v>20</v>
      </c>
      <c r="T7" s="9">
        <v>3</v>
      </c>
      <c r="U7" s="9">
        <v>0</v>
      </c>
      <c r="V7" s="9">
        <v>40</v>
      </c>
      <c r="W7" s="9">
        <v>6</v>
      </c>
      <c r="X7" s="9">
        <v>8</v>
      </c>
      <c r="Y7" s="9">
        <v>0</v>
      </c>
      <c r="Z7" s="9">
        <v>6</v>
      </c>
      <c r="AA7" s="9">
        <v>4</v>
      </c>
      <c r="AB7" s="9">
        <v>22</v>
      </c>
      <c r="AC7" s="9">
        <v>4</v>
      </c>
      <c r="AD7" s="9">
        <v>6</v>
      </c>
      <c r="AE7" s="9">
        <v>1</v>
      </c>
      <c r="AF7" s="9">
        <v>5</v>
      </c>
      <c r="AG7" s="9">
        <v>14</v>
      </c>
      <c r="AH7" s="9">
        <v>8</v>
      </c>
      <c r="AI7" s="9">
        <v>2</v>
      </c>
      <c r="AJ7" s="9">
        <v>8</v>
      </c>
      <c r="AK7" s="9">
        <v>0</v>
      </c>
      <c r="AL7" s="9">
        <v>20</v>
      </c>
      <c r="AM7" s="9">
        <v>0</v>
      </c>
      <c r="AN7" s="9">
        <v>0</v>
      </c>
      <c r="AO7" s="9">
        <v>6</v>
      </c>
      <c r="AP7" s="9">
        <v>12</v>
      </c>
      <c r="AQ7" s="9">
        <v>6</v>
      </c>
      <c r="AR7" s="9">
        <v>80</v>
      </c>
      <c r="AS7" s="9">
        <v>13</v>
      </c>
      <c r="AT7" s="9">
        <v>6</v>
      </c>
      <c r="AU7" s="9">
        <v>22</v>
      </c>
      <c r="AV7" s="9">
        <v>14</v>
      </c>
      <c r="AW7" s="9">
        <v>0</v>
      </c>
      <c r="AX7" s="9">
        <v>1</v>
      </c>
      <c r="AY7" s="9">
        <v>2</v>
      </c>
      <c r="AZ7" s="10">
        <v>550</v>
      </c>
      <c r="BA7" cm="1">
        <f t="array" ref="BA7">SUMPRODUCT(B7:AY7,TRANSPOSE(B$13:$B$62))</f>
        <v>550</v>
      </c>
      <c r="BB7" cm="1">
        <f t="array" ref="BB7">SUMPRODUCT(B7:AY7,TRANSPOSE($C$13:$C$62))</f>
        <v>529</v>
      </c>
      <c r="BC7" t="str">
        <f t="shared" si="0"/>
        <v>f</v>
      </c>
    </row>
    <row r="8" spans="1:55" x14ac:dyDescent="0.3">
      <c r="A8" s="11" t="s">
        <v>36</v>
      </c>
      <c r="B8" s="12">
        <v>8</v>
      </c>
      <c r="C8" s="12">
        <v>71</v>
      </c>
      <c r="D8" s="12">
        <v>30</v>
      </c>
      <c r="E8" s="12">
        <v>60</v>
      </c>
      <c r="F8" s="12">
        <v>200</v>
      </c>
      <c r="G8" s="12">
        <v>18</v>
      </c>
      <c r="H8" s="12">
        <v>6</v>
      </c>
      <c r="I8" s="12">
        <v>30</v>
      </c>
      <c r="J8" s="12">
        <v>4</v>
      </c>
      <c r="K8" s="12">
        <v>8</v>
      </c>
      <c r="L8" s="12">
        <v>31</v>
      </c>
      <c r="M8" s="12">
        <v>6</v>
      </c>
      <c r="N8" s="12">
        <v>3</v>
      </c>
      <c r="O8" s="12">
        <v>0</v>
      </c>
      <c r="P8" s="12">
        <v>18</v>
      </c>
      <c r="Q8" s="12">
        <v>60</v>
      </c>
      <c r="R8" s="12">
        <v>21</v>
      </c>
      <c r="S8" s="12">
        <v>4</v>
      </c>
      <c r="T8" s="12">
        <v>0</v>
      </c>
      <c r="U8" s="12">
        <v>2</v>
      </c>
      <c r="V8" s="12">
        <v>32</v>
      </c>
      <c r="W8" s="12">
        <v>15</v>
      </c>
      <c r="X8" s="12">
        <v>31</v>
      </c>
      <c r="Y8" s="12">
        <v>2</v>
      </c>
      <c r="Z8" s="12">
        <v>2</v>
      </c>
      <c r="AA8" s="12">
        <v>7</v>
      </c>
      <c r="AB8" s="12">
        <v>8</v>
      </c>
      <c r="AC8" s="12">
        <v>2</v>
      </c>
      <c r="AD8" s="12">
        <v>8</v>
      </c>
      <c r="AE8" s="12">
        <v>0</v>
      </c>
      <c r="AF8" s="12">
        <v>2</v>
      </c>
      <c r="AG8" s="12">
        <v>8</v>
      </c>
      <c r="AH8" s="12">
        <v>6</v>
      </c>
      <c r="AI8" s="12">
        <v>7</v>
      </c>
      <c r="AJ8" s="12">
        <v>1</v>
      </c>
      <c r="AK8" s="12">
        <v>0</v>
      </c>
      <c r="AL8" s="12">
        <v>0</v>
      </c>
      <c r="AM8" s="12">
        <v>20</v>
      </c>
      <c r="AN8" s="12">
        <v>8</v>
      </c>
      <c r="AO8" s="12">
        <v>14</v>
      </c>
      <c r="AP8" s="12">
        <v>20</v>
      </c>
      <c r="AQ8" s="12">
        <v>2</v>
      </c>
      <c r="AR8" s="12">
        <v>40</v>
      </c>
      <c r="AS8" s="12">
        <v>6</v>
      </c>
      <c r="AT8" s="12">
        <v>1</v>
      </c>
      <c r="AU8" s="12">
        <v>14</v>
      </c>
      <c r="AV8" s="12">
        <v>20</v>
      </c>
      <c r="AW8" s="12">
        <v>12</v>
      </c>
      <c r="AX8" s="12">
        <v>0</v>
      </c>
      <c r="AY8" s="12">
        <v>1</v>
      </c>
      <c r="AZ8" s="10">
        <v>550</v>
      </c>
      <c r="BA8" cm="1">
        <f t="array" ref="BA8">SUMPRODUCT(B8:AY8,TRANSPOSE(B$13:$B$62))</f>
        <v>483.10344827586209</v>
      </c>
      <c r="BB8" cm="1">
        <f t="array" ref="BB8">SUMPRODUCT(B8:AY8,TRANSPOSE($C$13:$C$62))</f>
        <v>461</v>
      </c>
      <c r="BC8" t="str">
        <f t="shared" si="0"/>
        <v>f</v>
      </c>
    </row>
    <row r="9" spans="1:55" x14ac:dyDescent="0.3">
      <c r="A9" s="8" t="s">
        <v>37</v>
      </c>
      <c r="B9" s="9">
        <v>38</v>
      </c>
      <c r="C9" s="9">
        <v>52</v>
      </c>
      <c r="D9" s="9">
        <v>30</v>
      </c>
      <c r="E9" s="9">
        <v>42</v>
      </c>
      <c r="F9" s="9">
        <v>170</v>
      </c>
      <c r="G9" s="9">
        <v>9</v>
      </c>
      <c r="H9" s="9">
        <v>7</v>
      </c>
      <c r="I9" s="9">
        <v>20</v>
      </c>
      <c r="J9" s="9">
        <v>0</v>
      </c>
      <c r="K9" s="9">
        <v>3</v>
      </c>
      <c r="L9" s="9">
        <v>21</v>
      </c>
      <c r="M9" s="9">
        <v>4</v>
      </c>
      <c r="N9" s="9">
        <v>1</v>
      </c>
      <c r="O9" s="9">
        <v>2</v>
      </c>
      <c r="P9" s="9">
        <v>14</v>
      </c>
      <c r="Q9" s="9">
        <v>310</v>
      </c>
      <c r="R9" s="9">
        <v>8</v>
      </c>
      <c r="S9" s="9">
        <v>4</v>
      </c>
      <c r="T9" s="9">
        <v>6</v>
      </c>
      <c r="U9" s="9">
        <v>1</v>
      </c>
      <c r="V9" s="9">
        <v>18</v>
      </c>
      <c r="W9" s="9">
        <v>15</v>
      </c>
      <c r="X9" s="9">
        <v>38</v>
      </c>
      <c r="Y9" s="9">
        <v>10</v>
      </c>
      <c r="Z9" s="9">
        <v>4</v>
      </c>
      <c r="AA9" s="9">
        <v>8</v>
      </c>
      <c r="AB9" s="9">
        <v>6</v>
      </c>
      <c r="AC9" s="9">
        <v>0</v>
      </c>
      <c r="AD9" s="9">
        <v>0</v>
      </c>
      <c r="AE9" s="9">
        <v>3</v>
      </c>
      <c r="AF9" s="9">
        <v>0</v>
      </c>
      <c r="AG9" s="9">
        <v>10</v>
      </c>
      <c r="AH9" s="9">
        <v>6</v>
      </c>
      <c r="AI9" s="9">
        <v>1</v>
      </c>
      <c r="AJ9" s="9">
        <v>3</v>
      </c>
      <c r="AK9" s="9">
        <v>0</v>
      </c>
      <c r="AL9" s="9">
        <v>3</v>
      </c>
      <c r="AM9" s="9">
        <v>5</v>
      </c>
      <c r="AN9" s="9">
        <v>4</v>
      </c>
      <c r="AO9" s="9">
        <v>0</v>
      </c>
      <c r="AP9" s="9">
        <v>30</v>
      </c>
      <c r="AQ9" s="9">
        <v>12</v>
      </c>
      <c r="AR9" s="9">
        <v>16</v>
      </c>
      <c r="AS9" s="9">
        <v>18</v>
      </c>
      <c r="AT9" s="9">
        <v>3</v>
      </c>
      <c r="AU9" s="9">
        <v>16</v>
      </c>
      <c r="AV9" s="9">
        <v>22</v>
      </c>
      <c r="AW9" s="9">
        <v>30</v>
      </c>
      <c r="AX9" s="9">
        <v>4</v>
      </c>
      <c r="AY9" s="9">
        <v>0</v>
      </c>
      <c r="AZ9" s="10">
        <v>650</v>
      </c>
      <c r="BA9" cm="1">
        <f t="array" ref="BA9">SUMPRODUCT(B9:AY9,TRANSPOSE(B$13:$B$62))</f>
        <v>650</v>
      </c>
      <c r="BB9" cm="1">
        <f t="array" ref="BB9">SUMPRODUCT(B9:AY9,TRANSPOSE($C$13:$C$62))</f>
        <v>636</v>
      </c>
      <c r="BC9" t="str">
        <f t="shared" si="0"/>
        <v>f</v>
      </c>
    </row>
    <row r="13" spans="1:55" x14ac:dyDescent="0.3">
      <c r="A13" t="s">
        <v>3</v>
      </c>
      <c r="B13">
        <v>0</v>
      </c>
      <c r="C13">
        <f>ROUND(B13,0)</f>
        <v>0</v>
      </c>
    </row>
    <row r="14" spans="1:55" x14ac:dyDescent="0.3">
      <c r="A14" t="s">
        <v>4</v>
      </c>
      <c r="B14">
        <v>0.13248638838475499</v>
      </c>
      <c r="C14">
        <f t="shared" ref="C14:C62" si="1">ROUND(B14,0)</f>
        <v>0</v>
      </c>
    </row>
    <row r="15" spans="1:55" x14ac:dyDescent="0.3">
      <c r="A15" t="s">
        <v>5</v>
      </c>
      <c r="B15">
        <v>0</v>
      </c>
      <c r="C15">
        <f t="shared" si="1"/>
        <v>0</v>
      </c>
    </row>
    <row r="16" spans="1:55" x14ac:dyDescent="0.3">
      <c r="A16" t="s">
        <v>6</v>
      </c>
      <c r="B16">
        <v>1</v>
      </c>
      <c r="C16">
        <f t="shared" si="1"/>
        <v>1</v>
      </c>
    </row>
    <row r="17" spans="1:3" x14ac:dyDescent="0.3">
      <c r="A17" t="s">
        <v>7</v>
      </c>
      <c r="B17">
        <v>0</v>
      </c>
      <c r="C17">
        <f t="shared" si="1"/>
        <v>0</v>
      </c>
    </row>
    <row r="18" spans="1:3" x14ac:dyDescent="0.3">
      <c r="A18" t="s">
        <v>8</v>
      </c>
      <c r="B18">
        <v>1</v>
      </c>
      <c r="C18">
        <f t="shared" si="1"/>
        <v>1</v>
      </c>
    </row>
    <row r="19" spans="1:3" x14ac:dyDescent="0.3">
      <c r="A19" t="s">
        <v>9</v>
      </c>
      <c r="B19">
        <v>0</v>
      </c>
      <c r="C19">
        <f t="shared" si="1"/>
        <v>0</v>
      </c>
    </row>
    <row r="20" spans="1:3" x14ac:dyDescent="0.3">
      <c r="A20" t="s">
        <v>10</v>
      </c>
      <c r="B20">
        <v>1</v>
      </c>
      <c r="C20">
        <f t="shared" si="1"/>
        <v>1</v>
      </c>
    </row>
    <row r="21" spans="1:3" x14ac:dyDescent="0.3">
      <c r="A21" t="s">
        <v>11</v>
      </c>
      <c r="B21">
        <v>1</v>
      </c>
      <c r="C21">
        <f t="shared" si="1"/>
        <v>1</v>
      </c>
    </row>
    <row r="22" spans="1:3" x14ac:dyDescent="0.3">
      <c r="A22" t="s">
        <v>12</v>
      </c>
      <c r="B22">
        <v>0</v>
      </c>
      <c r="C22">
        <f t="shared" si="1"/>
        <v>0</v>
      </c>
    </row>
    <row r="23" spans="1:3" x14ac:dyDescent="0.3">
      <c r="A23" t="s">
        <v>13</v>
      </c>
      <c r="B23">
        <v>1</v>
      </c>
      <c r="C23">
        <f t="shared" si="1"/>
        <v>1</v>
      </c>
    </row>
    <row r="24" spans="1:3" x14ac:dyDescent="0.3">
      <c r="A24" t="s">
        <v>14</v>
      </c>
      <c r="B24">
        <v>0</v>
      </c>
      <c r="C24">
        <f t="shared" si="1"/>
        <v>0</v>
      </c>
    </row>
    <row r="25" spans="1:3" x14ac:dyDescent="0.3">
      <c r="A25" t="s">
        <v>15</v>
      </c>
      <c r="B25">
        <v>1</v>
      </c>
      <c r="C25">
        <f t="shared" si="1"/>
        <v>1</v>
      </c>
    </row>
    <row r="26" spans="1:3" x14ac:dyDescent="0.3">
      <c r="A26" t="s">
        <v>16</v>
      </c>
      <c r="B26">
        <v>1</v>
      </c>
      <c r="C26">
        <f t="shared" si="1"/>
        <v>1</v>
      </c>
    </row>
    <row r="27" spans="1:3" x14ac:dyDescent="0.3">
      <c r="A27" t="s">
        <v>17</v>
      </c>
      <c r="B27">
        <v>1</v>
      </c>
      <c r="C27">
        <f t="shared" si="1"/>
        <v>1</v>
      </c>
    </row>
    <row r="28" spans="1:3" x14ac:dyDescent="0.3">
      <c r="A28" t="s">
        <v>18</v>
      </c>
      <c r="B28">
        <v>1</v>
      </c>
      <c r="C28">
        <f t="shared" si="1"/>
        <v>1</v>
      </c>
    </row>
    <row r="29" spans="1:3" x14ac:dyDescent="0.3">
      <c r="A29" t="s">
        <v>19</v>
      </c>
      <c r="B29">
        <v>1</v>
      </c>
      <c r="C29">
        <f t="shared" si="1"/>
        <v>1</v>
      </c>
    </row>
    <row r="30" spans="1:3" x14ac:dyDescent="0.3">
      <c r="A30" t="s">
        <v>20</v>
      </c>
      <c r="B30">
        <v>0</v>
      </c>
      <c r="C30">
        <f t="shared" si="1"/>
        <v>0</v>
      </c>
    </row>
    <row r="31" spans="1:3" x14ac:dyDescent="0.3">
      <c r="A31" t="s">
        <v>21</v>
      </c>
      <c r="B31">
        <v>1</v>
      </c>
      <c r="C31">
        <f t="shared" si="1"/>
        <v>1</v>
      </c>
    </row>
    <row r="32" spans="1:3" x14ac:dyDescent="0.3">
      <c r="A32" t="s">
        <v>22</v>
      </c>
      <c r="B32">
        <v>1</v>
      </c>
      <c r="C32">
        <f t="shared" si="1"/>
        <v>1</v>
      </c>
    </row>
    <row r="33" spans="1:3" x14ac:dyDescent="0.3">
      <c r="A33" t="s">
        <v>23</v>
      </c>
      <c r="B33">
        <v>0.39745916515426505</v>
      </c>
      <c r="C33">
        <f t="shared" si="1"/>
        <v>0</v>
      </c>
    </row>
    <row r="34" spans="1:3" x14ac:dyDescent="0.3">
      <c r="A34" t="s">
        <v>24</v>
      </c>
      <c r="B34">
        <v>0</v>
      </c>
      <c r="C34">
        <f t="shared" si="1"/>
        <v>0</v>
      </c>
    </row>
    <row r="35" spans="1:3" x14ac:dyDescent="0.3">
      <c r="A35" t="s">
        <v>25</v>
      </c>
      <c r="B35">
        <v>1</v>
      </c>
      <c r="C35">
        <f t="shared" si="1"/>
        <v>1</v>
      </c>
    </row>
    <row r="36" spans="1:3" x14ac:dyDescent="0.3">
      <c r="A36" t="s">
        <v>26</v>
      </c>
      <c r="B36">
        <v>0</v>
      </c>
      <c r="C36">
        <f t="shared" si="1"/>
        <v>0</v>
      </c>
    </row>
    <row r="37" spans="1:3" x14ac:dyDescent="0.3">
      <c r="A37" t="s">
        <v>27</v>
      </c>
      <c r="B37">
        <v>0.98911070780399257</v>
      </c>
      <c r="C37">
        <f t="shared" si="1"/>
        <v>1</v>
      </c>
    </row>
    <row r="38" spans="1:3" x14ac:dyDescent="0.3">
      <c r="A38" t="s">
        <v>28</v>
      </c>
      <c r="B38">
        <v>1</v>
      </c>
      <c r="C38">
        <f t="shared" si="1"/>
        <v>1</v>
      </c>
    </row>
    <row r="39" spans="1:3" x14ac:dyDescent="0.3">
      <c r="A39" t="s">
        <v>29</v>
      </c>
      <c r="B39">
        <v>1</v>
      </c>
      <c r="C39">
        <f t="shared" si="1"/>
        <v>1</v>
      </c>
    </row>
    <row r="40" spans="1:3" x14ac:dyDescent="0.3">
      <c r="A40" t="s">
        <v>30</v>
      </c>
      <c r="B40">
        <v>1</v>
      </c>
      <c r="C40">
        <f t="shared" si="1"/>
        <v>1</v>
      </c>
    </row>
    <row r="41" spans="1:3" x14ac:dyDescent="0.3">
      <c r="A41" t="s">
        <v>44</v>
      </c>
      <c r="B41">
        <v>1</v>
      </c>
      <c r="C41">
        <f t="shared" si="1"/>
        <v>1</v>
      </c>
    </row>
    <row r="42" spans="1:3" x14ac:dyDescent="0.3">
      <c r="A42" t="s">
        <v>45</v>
      </c>
      <c r="B42">
        <v>1</v>
      </c>
      <c r="C42">
        <f t="shared" si="1"/>
        <v>1</v>
      </c>
    </row>
    <row r="43" spans="1:3" x14ac:dyDescent="0.3">
      <c r="A43" t="s">
        <v>46</v>
      </c>
      <c r="B43">
        <v>1</v>
      </c>
      <c r="C43">
        <f t="shared" si="1"/>
        <v>1</v>
      </c>
    </row>
    <row r="44" spans="1:3" x14ac:dyDescent="0.3">
      <c r="A44" t="s">
        <v>47</v>
      </c>
      <c r="B44">
        <v>1</v>
      </c>
      <c r="C44">
        <f t="shared" si="1"/>
        <v>1</v>
      </c>
    </row>
    <row r="45" spans="1:3" x14ac:dyDescent="0.3">
      <c r="A45" t="s">
        <v>48</v>
      </c>
      <c r="B45">
        <v>0</v>
      </c>
      <c r="C45">
        <f t="shared" si="1"/>
        <v>0</v>
      </c>
    </row>
    <row r="46" spans="1:3" x14ac:dyDescent="0.3">
      <c r="A46" t="s">
        <v>49</v>
      </c>
      <c r="B46">
        <v>1</v>
      </c>
      <c r="C46">
        <f t="shared" si="1"/>
        <v>1</v>
      </c>
    </row>
    <row r="47" spans="1:3" x14ac:dyDescent="0.3">
      <c r="A47" t="s">
        <v>50</v>
      </c>
      <c r="B47">
        <v>1</v>
      </c>
      <c r="C47">
        <f t="shared" si="1"/>
        <v>1</v>
      </c>
    </row>
    <row r="48" spans="1:3" x14ac:dyDescent="0.3">
      <c r="A48" t="s">
        <v>51</v>
      </c>
      <c r="B48">
        <v>0.55989110707804002</v>
      </c>
      <c r="C48">
        <f t="shared" si="1"/>
        <v>1</v>
      </c>
    </row>
    <row r="49" spans="1:3" x14ac:dyDescent="0.3">
      <c r="A49" t="s">
        <v>52</v>
      </c>
      <c r="B49">
        <v>1</v>
      </c>
      <c r="C49">
        <f t="shared" si="1"/>
        <v>1</v>
      </c>
    </row>
    <row r="50" spans="1:3" x14ac:dyDescent="0.3">
      <c r="A50" t="s">
        <v>53</v>
      </c>
      <c r="B50">
        <v>1</v>
      </c>
      <c r="C50">
        <f t="shared" si="1"/>
        <v>1</v>
      </c>
    </row>
    <row r="51" spans="1:3" x14ac:dyDescent="0.3">
      <c r="A51" t="s">
        <v>54</v>
      </c>
      <c r="B51">
        <v>1</v>
      </c>
      <c r="C51">
        <f t="shared" si="1"/>
        <v>1</v>
      </c>
    </row>
    <row r="52" spans="1:3" x14ac:dyDescent="0.3">
      <c r="A52" t="s">
        <v>56</v>
      </c>
      <c r="B52">
        <v>1</v>
      </c>
      <c r="C52">
        <f t="shared" si="1"/>
        <v>1</v>
      </c>
    </row>
    <row r="53" spans="1:3" x14ac:dyDescent="0.3">
      <c r="A53" t="s">
        <v>57</v>
      </c>
      <c r="B53">
        <v>1</v>
      </c>
      <c r="C53">
        <f t="shared" si="1"/>
        <v>1</v>
      </c>
    </row>
    <row r="54" spans="1:3" x14ac:dyDescent="0.3">
      <c r="A54" t="s">
        <v>58</v>
      </c>
      <c r="B54">
        <v>1</v>
      </c>
      <c r="C54">
        <f t="shared" si="1"/>
        <v>1</v>
      </c>
    </row>
    <row r="55" spans="1:3" x14ac:dyDescent="0.3">
      <c r="A55" t="s">
        <v>59</v>
      </c>
      <c r="B55">
        <v>1</v>
      </c>
      <c r="C55">
        <f t="shared" si="1"/>
        <v>1</v>
      </c>
    </row>
    <row r="56" spans="1:3" x14ac:dyDescent="0.3">
      <c r="A56" t="s">
        <v>60</v>
      </c>
      <c r="B56">
        <v>0</v>
      </c>
      <c r="C56">
        <f t="shared" si="1"/>
        <v>0</v>
      </c>
    </row>
    <row r="57" spans="1:3" x14ac:dyDescent="0.3">
      <c r="A57" t="s">
        <v>61</v>
      </c>
      <c r="B57">
        <v>1</v>
      </c>
      <c r="C57">
        <f t="shared" si="1"/>
        <v>1</v>
      </c>
    </row>
    <row r="58" spans="1:3" x14ac:dyDescent="0.3">
      <c r="A58" t="s">
        <v>62</v>
      </c>
      <c r="B58">
        <v>0</v>
      </c>
      <c r="C58">
        <f t="shared" si="1"/>
        <v>0</v>
      </c>
    </row>
    <row r="59" spans="1:3" x14ac:dyDescent="0.3">
      <c r="A59" t="s">
        <v>63</v>
      </c>
      <c r="B59">
        <v>1</v>
      </c>
      <c r="C59">
        <f t="shared" si="1"/>
        <v>1</v>
      </c>
    </row>
    <row r="60" spans="1:3" x14ac:dyDescent="0.3">
      <c r="A60" t="s">
        <v>64</v>
      </c>
      <c r="B60">
        <v>1</v>
      </c>
      <c r="C60">
        <f t="shared" si="1"/>
        <v>1</v>
      </c>
    </row>
    <row r="61" spans="1:3" x14ac:dyDescent="0.3">
      <c r="A61" t="s">
        <v>65</v>
      </c>
      <c r="B61">
        <v>1</v>
      </c>
      <c r="C61">
        <f t="shared" si="1"/>
        <v>1</v>
      </c>
    </row>
    <row r="62" spans="1:3" x14ac:dyDescent="0.3">
      <c r="A62" t="s">
        <v>66</v>
      </c>
      <c r="B62">
        <v>1</v>
      </c>
      <c r="C62">
        <f t="shared" si="1"/>
        <v>1</v>
      </c>
    </row>
    <row r="63" spans="1:3" x14ac:dyDescent="0.3">
      <c r="B63" cm="1">
        <f t="array" ref="B63">SUMPRODUCT($B$4:$AY$4,TRANSPOSE(B13:B62))</f>
        <v>16612.821234119783</v>
      </c>
      <c r="C63" cm="1">
        <f t="array" ref="C63">SUMPRODUCT($B$4:$AY$4,TRANSPOSE(C13:C62))</f>
        <v>16235</v>
      </c>
    </row>
  </sheetData>
  <mergeCells count="2">
    <mergeCell ref="A1:AZ1"/>
    <mergeCell ref="A2:AZ2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893B-265A-441B-8539-5B126404E17D}">
  <dimension ref="A1:BA63"/>
  <sheetViews>
    <sheetView topLeftCell="A45" zoomScaleNormal="100" workbookViewId="0">
      <selection activeCell="B63" sqref="B63"/>
    </sheetView>
  </sheetViews>
  <sheetFormatPr defaultRowHeight="14.4" x14ac:dyDescent="0.3"/>
  <sheetData>
    <row r="1" spans="1:53" x14ac:dyDescent="0.3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3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3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44</v>
      </c>
      <c r="AE3" s="4" t="s">
        <v>45</v>
      </c>
      <c r="AF3" s="4" t="s">
        <v>46</v>
      </c>
      <c r="AG3" s="4" t="s">
        <v>47</v>
      </c>
      <c r="AH3" s="4" t="s">
        <v>48</v>
      </c>
      <c r="AI3" s="4" t="s">
        <v>49</v>
      </c>
      <c r="AJ3" s="4" t="s">
        <v>50</v>
      </c>
      <c r="AK3" s="4" t="s">
        <v>51</v>
      </c>
      <c r="AL3" s="4" t="s">
        <v>52</v>
      </c>
      <c r="AM3" s="4" t="s">
        <v>53</v>
      </c>
      <c r="AN3" s="4" t="s">
        <v>54</v>
      </c>
      <c r="AO3" s="4" t="s">
        <v>56</v>
      </c>
      <c r="AP3" s="4" t="s">
        <v>57</v>
      </c>
      <c r="AQ3" s="4" t="s">
        <v>58</v>
      </c>
      <c r="AR3" s="4" t="s">
        <v>59</v>
      </c>
      <c r="AS3" s="4" t="s">
        <v>60</v>
      </c>
      <c r="AT3" s="4" t="s">
        <v>61</v>
      </c>
      <c r="AU3" s="4" t="s">
        <v>62</v>
      </c>
      <c r="AV3" s="4" t="s">
        <v>63</v>
      </c>
      <c r="AW3" s="4" t="s">
        <v>64</v>
      </c>
      <c r="AX3" s="4" t="s">
        <v>65</v>
      </c>
      <c r="AY3" s="4" t="s">
        <v>66</v>
      </c>
      <c r="AZ3" s="4" t="s">
        <v>31</v>
      </c>
    </row>
    <row r="4" spans="1:53" x14ac:dyDescent="0.3">
      <c r="A4" s="5" t="s">
        <v>32</v>
      </c>
      <c r="B4" s="6">
        <v>560</v>
      </c>
      <c r="C4" s="6">
        <v>1125</v>
      </c>
      <c r="D4" s="6">
        <v>300</v>
      </c>
      <c r="E4" s="6">
        <v>620</v>
      </c>
      <c r="F4" s="6">
        <v>2100</v>
      </c>
      <c r="G4" s="6">
        <v>431</v>
      </c>
      <c r="H4" s="6">
        <v>68</v>
      </c>
      <c r="I4" s="6">
        <v>328</v>
      </c>
      <c r="J4" s="6">
        <v>47</v>
      </c>
      <c r="K4" s="6">
        <v>122</v>
      </c>
      <c r="L4" s="6">
        <v>322</v>
      </c>
      <c r="M4" s="6">
        <v>196</v>
      </c>
      <c r="N4" s="6">
        <v>41</v>
      </c>
      <c r="O4" s="6">
        <v>25</v>
      </c>
      <c r="P4" s="6">
        <v>425</v>
      </c>
      <c r="Q4" s="6">
        <v>4260</v>
      </c>
      <c r="R4" s="6">
        <v>416</v>
      </c>
      <c r="S4" s="6">
        <v>115</v>
      </c>
      <c r="T4" s="6">
        <v>82</v>
      </c>
      <c r="U4" s="6">
        <v>22</v>
      </c>
      <c r="V4" s="6">
        <v>631</v>
      </c>
      <c r="W4" s="6">
        <v>132</v>
      </c>
      <c r="X4" s="6">
        <v>420</v>
      </c>
      <c r="Y4" s="6">
        <v>86</v>
      </c>
      <c r="Z4" s="6">
        <v>42</v>
      </c>
      <c r="AA4" s="6">
        <v>103</v>
      </c>
      <c r="AB4" s="6">
        <v>215</v>
      </c>
      <c r="AC4" s="6">
        <v>81</v>
      </c>
      <c r="AD4" s="6">
        <v>91</v>
      </c>
      <c r="AE4" s="6">
        <v>26</v>
      </c>
      <c r="AF4" s="6">
        <v>49</v>
      </c>
      <c r="AG4" s="6">
        <v>420</v>
      </c>
      <c r="AH4" s="6">
        <v>316</v>
      </c>
      <c r="AI4" s="6">
        <v>72</v>
      </c>
      <c r="AJ4" s="6">
        <v>71</v>
      </c>
      <c r="AK4" s="6">
        <v>49</v>
      </c>
      <c r="AL4" s="6">
        <v>108</v>
      </c>
      <c r="AM4" s="6">
        <v>116</v>
      </c>
      <c r="AN4" s="6">
        <v>90</v>
      </c>
      <c r="AO4" s="6">
        <v>738</v>
      </c>
      <c r="AP4" s="6">
        <v>1811</v>
      </c>
      <c r="AQ4" s="6">
        <v>430</v>
      </c>
      <c r="AR4" s="6">
        <v>3060</v>
      </c>
      <c r="AS4" s="6">
        <v>215</v>
      </c>
      <c r="AT4" s="6">
        <v>58</v>
      </c>
      <c r="AU4" s="6">
        <v>296</v>
      </c>
      <c r="AV4" s="6">
        <v>620</v>
      </c>
      <c r="AW4" s="6">
        <v>418</v>
      </c>
      <c r="AX4" s="6">
        <v>47</v>
      </c>
      <c r="AY4" s="6">
        <v>81</v>
      </c>
      <c r="AZ4" s="7"/>
    </row>
    <row r="5" spans="1:53" x14ac:dyDescent="0.3">
      <c r="A5" s="8" t="s">
        <v>33</v>
      </c>
      <c r="B5" s="9">
        <v>40</v>
      </c>
      <c r="C5" s="9">
        <v>91</v>
      </c>
      <c r="D5" s="9">
        <v>10</v>
      </c>
      <c r="E5" s="9">
        <v>30</v>
      </c>
      <c r="F5" s="9">
        <v>160</v>
      </c>
      <c r="G5" s="9">
        <v>20</v>
      </c>
      <c r="H5" s="9">
        <v>3</v>
      </c>
      <c r="I5" s="9">
        <v>12</v>
      </c>
      <c r="J5" s="9">
        <v>3</v>
      </c>
      <c r="K5" s="9">
        <v>18</v>
      </c>
      <c r="L5" s="9">
        <v>9</v>
      </c>
      <c r="M5" s="9">
        <v>25</v>
      </c>
      <c r="N5" s="9">
        <v>1</v>
      </c>
      <c r="O5" s="9">
        <v>1</v>
      </c>
      <c r="P5" s="9">
        <v>10</v>
      </c>
      <c r="Q5" s="9">
        <v>280</v>
      </c>
      <c r="R5" s="9">
        <v>10</v>
      </c>
      <c r="S5" s="9">
        <v>8</v>
      </c>
      <c r="T5" s="9">
        <v>1</v>
      </c>
      <c r="U5" s="9">
        <v>1</v>
      </c>
      <c r="V5" s="9">
        <v>49</v>
      </c>
      <c r="W5" s="9">
        <v>8</v>
      </c>
      <c r="X5" s="9">
        <v>21</v>
      </c>
      <c r="Y5" s="9">
        <v>6</v>
      </c>
      <c r="Z5" s="9">
        <v>1</v>
      </c>
      <c r="AA5" s="9">
        <v>5</v>
      </c>
      <c r="AB5" s="9">
        <v>10</v>
      </c>
      <c r="AC5" s="9">
        <v>8</v>
      </c>
      <c r="AD5" s="9">
        <v>2</v>
      </c>
      <c r="AE5" s="9">
        <v>1</v>
      </c>
      <c r="AF5" s="9">
        <v>0</v>
      </c>
      <c r="AG5" s="9">
        <v>10</v>
      </c>
      <c r="AH5" s="9">
        <v>42</v>
      </c>
      <c r="AI5" s="9">
        <v>6</v>
      </c>
      <c r="AJ5" s="9">
        <v>4</v>
      </c>
      <c r="AK5" s="9">
        <v>8</v>
      </c>
      <c r="AL5" s="9">
        <v>0</v>
      </c>
      <c r="AM5" s="9">
        <v>10</v>
      </c>
      <c r="AN5" s="9">
        <v>1</v>
      </c>
      <c r="AO5" s="9">
        <v>40</v>
      </c>
      <c r="AP5" s="9">
        <v>86</v>
      </c>
      <c r="AQ5" s="9">
        <v>11</v>
      </c>
      <c r="AR5" s="9">
        <v>120</v>
      </c>
      <c r="AS5" s="9">
        <v>8</v>
      </c>
      <c r="AT5" s="9">
        <v>3</v>
      </c>
      <c r="AU5" s="9">
        <v>32</v>
      </c>
      <c r="AV5" s="9">
        <v>28</v>
      </c>
      <c r="AW5" s="9">
        <v>13</v>
      </c>
      <c r="AX5" s="9">
        <v>2</v>
      </c>
      <c r="AY5" s="9">
        <v>4</v>
      </c>
      <c r="AZ5" s="10">
        <v>800</v>
      </c>
      <c r="BA5" cm="1">
        <f t="array" ref="BA5">SUMPRODUCT(B5:AY5,TRANSPOSE($B$13:$B$62))</f>
        <v>800</v>
      </c>
    </row>
    <row r="6" spans="1:53" x14ac:dyDescent="0.3">
      <c r="A6" s="11" t="s">
        <v>34</v>
      </c>
      <c r="B6" s="12">
        <v>16</v>
      </c>
      <c r="C6" s="12">
        <v>92</v>
      </c>
      <c r="D6" s="12">
        <v>41</v>
      </c>
      <c r="E6" s="12">
        <v>16</v>
      </c>
      <c r="F6" s="12">
        <v>150</v>
      </c>
      <c r="G6" s="12">
        <v>23</v>
      </c>
      <c r="H6" s="12">
        <v>4</v>
      </c>
      <c r="I6" s="12">
        <v>18</v>
      </c>
      <c r="J6" s="12">
        <v>6</v>
      </c>
      <c r="K6" s="12">
        <v>0</v>
      </c>
      <c r="L6" s="12">
        <v>12</v>
      </c>
      <c r="M6" s="12">
        <v>8</v>
      </c>
      <c r="N6" s="12">
        <v>2</v>
      </c>
      <c r="O6" s="12">
        <v>1</v>
      </c>
      <c r="P6" s="12">
        <v>0</v>
      </c>
      <c r="Q6" s="12">
        <v>200</v>
      </c>
      <c r="R6" s="12">
        <v>20</v>
      </c>
      <c r="S6" s="12">
        <v>6</v>
      </c>
      <c r="T6" s="12">
        <v>2</v>
      </c>
      <c r="U6" s="12">
        <v>1</v>
      </c>
      <c r="V6" s="12">
        <v>70</v>
      </c>
      <c r="W6" s="12">
        <v>9</v>
      </c>
      <c r="X6" s="12">
        <v>22</v>
      </c>
      <c r="Y6" s="12">
        <v>4</v>
      </c>
      <c r="Z6" s="12">
        <v>1</v>
      </c>
      <c r="AA6" s="12">
        <v>5</v>
      </c>
      <c r="AB6" s="12">
        <v>10</v>
      </c>
      <c r="AC6" s="12">
        <v>6</v>
      </c>
      <c r="AD6" s="12">
        <v>4</v>
      </c>
      <c r="AE6" s="12">
        <v>0</v>
      </c>
      <c r="AF6" s="12">
        <v>4</v>
      </c>
      <c r="AG6" s="12">
        <v>12</v>
      </c>
      <c r="AH6" s="12">
        <v>8</v>
      </c>
      <c r="AI6" s="12">
        <v>4</v>
      </c>
      <c r="AJ6" s="12">
        <v>3</v>
      </c>
      <c r="AK6" s="12">
        <v>0</v>
      </c>
      <c r="AL6" s="12">
        <v>10</v>
      </c>
      <c r="AM6" s="12">
        <v>0</v>
      </c>
      <c r="AN6" s="12">
        <v>6</v>
      </c>
      <c r="AO6" s="12">
        <v>28</v>
      </c>
      <c r="AP6" s="12">
        <v>93</v>
      </c>
      <c r="AQ6" s="12">
        <v>9</v>
      </c>
      <c r="AR6" s="12">
        <v>30</v>
      </c>
      <c r="AS6" s="12">
        <v>22</v>
      </c>
      <c r="AT6" s="12">
        <v>0</v>
      </c>
      <c r="AU6" s="12">
        <v>36</v>
      </c>
      <c r="AV6" s="12">
        <v>45</v>
      </c>
      <c r="AW6" s="12">
        <v>13</v>
      </c>
      <c r="AX6" s="12">
        <v>2</v>
      </c>
      <c r="AY6" s="12">
        <v>2</v>
      </c>
      <c r="AZ6" s="10">
        <v>650</v>
      </c>
      <c r="BA6" cm="1">
        <f t="array" ref="BA6">SUMPRODUCT(B6:AY6,TRANSPOSE($B$13:$B$62))</f>
        <v>639</v>
      </c>
    </row>
    <row r="7" spans="1:53" x14ac:dyDescent="0.3">
      <c r="A7" s="8" t="s">
        <v>35</v>
      </c>
      <c r="B7" s="9">
        <v>38</v>
      </c>
      <c r="C7" s="9">
        <v>39</v>
      </c>
      <c r="D7" s="9">
        <v>32</v>
      </c>
      <c r="E7" s="9">
        <v>71</v>
      </c>
      <c r="F7" s="9">
        <v>80</v>
      </c>
      <c r="G7" s="9">
        <v>26</v>
      </c>
      <c r="H7" s="9">
        <v>5</v>
      </c>
      <c r="I7" s="9">
        <v>40</v>
      </c>
      <c r="J7" s="9">
        <v>8</v>
      </c>
      <c r="K7" s="9">
        <v>12</v>
      </c>
      <c r="L7" s="9">
        <v>30</v>
      </c>
      <c r="M7" s="9">
        <v>15</v>
      </c>
      <c r="N7" s="9">
        <v>0</v>
      </c>
      <c r="O7" s="9">
        <v>1</v>
      </c>
      <c r="P7" s="9">
        <v>23</v>
      </c>
      <c r="Q7" s="9">
        <v>100</v>
      </c>
      <c r="R7" s="9">
        <v>0</v>
      </c>
      <c r="S7" s="9">
        <v>20</v>
      </c>
      <c r="T7" s="9">
        <v>3</v>
      </c>
      <c r="U7" s="9">
        <v>0</v>
      </c>
      <c r="V7" s="9">
        <v>40</v>
      </c>
      <c r="W7" s="9">
        <v>6</v>
      </c>
      <c r="X7" s="9">
        <v>8</v>
      </c>
      <c r="Y7" s="9">
        <v>0</v>
      </c>
      <c r="Z7" s="9">
        <v>6</v>
      </c>
      <c r="AA7" s="9">
        <v>4</v>
      </c>
      <c r="AB7" s="9">
        <v>22</v>
      </c>
      <c r="AC7" s="9">
        <v>4</v>
      </c>
      <c r="AD7" s="9">
        <v>6</v>
      </c>
      <c r="AE7" s="9">
        <v>1</v>
      </c>
      <c r="AF7" s="9">
        <v>5</v>
      </c>
      <c r="AG7" s="9">
        <v>14</v>
      </c>
      <c r="AH7" s="9">
        <v>8</v>
      </c>
      <c r="AI7" s="9">
        <v>2</v>
      </c>
      <c r="AJ7" s="9">
        <v>8</v>
      </c>
      <c r="AK7" s="9">
        <v>0</v>
      </c>
      <c r="AL7" s="9">
        <v>20</v>
      </c>
      <c r="AM7" s="9">
        <v>0</v>
      </c>
      <c r="AN7" s="9">
        <v>0</v>
      </c>
      <c r="AO7" s="9">
        <v>6</v>
      </c>
      <c r="AP7" s="9">
        <v>12</v>
      </c>
      <c r="AQ7" s="9">
        <v>6</v>
      </c>
      <c r="AR7" s="9">
        <v>80</v>
      </c>
      <c r="AS7" s="9">
        <v>13</v>
      </c>
      <c r="AT7" s="9">
        <v>6</v>
      </c>
      <c r="AU7" s="9">
        <v>22</v>
      </c>
      <c r="AV7" s="9">
        <v>14</v>
      </c>
      <c r="AW7" s="9">
        <v>0</v>
      </c>
      <c r="AX7" s="9">
        <v>1</v>
      </c>
      <c r="AY7" s="9">
        <v>2</v>
      </c>
      <c r="AZ7" s="10">
        <v>550</v>
      </c>
      <c r="BA7" cm="1">
        <f t="array" ref="BA7">SUMPRODUCT(B7:AY7,TRANSPOSE($B$13:$B$62))</f>
        <v>549</v>
      </c>
    </row>
    <row r="8" spans="1:53" x14ac:dyDescent="0.3">
      <c r="A8" s="11" t="s">
        <v>36</v>
      </c>
      <c r="B8" s="12">
        <v>8</v>
      </c>
      <c r="C8" s="12">
        <v>71</v>
      </c>
      <c r="D8" s="12">
        <v>30</v>
      </c>
      <c r="E8" s="12">
        <v>60</v>
      </c>
      <c r="F8" s="12">
        <v>200</v>
      </c>
      <c r="G8" s="12">
        <v>18</v>
      </c>
      <c r="H8" s="12">
        <v>6</v>
      </c>
      <c r="I8" s="12">
        <v>30</v>
      </c>
      <c r="J8" s="12">
        <v>4</v>
      </c>
      <c r="K8" s="12">
        <v>8</v>
      </c>
      <c r="L8" s="12">
        <v>31</v>
      </c>
      <c r="M8" s="12">
        <v>6</v>
      </c>
      <c r="N8" s="12">
        <v>3</v>
      </c>
      <c r="O8" s="12">
        <v>0</v>
      </c>
      <c r="P8" s="12">
        <v>18</v>
      </c>
      <c r="Q8" s="12">
        <v>60</v>
      </c>
      <c r="R8" s="12">
        <v>21</v>
      </c>
      <c r="S8" s="12">
        <v>4</v>
      </c>
      <c r="T8" s="12">
        <v>0</v>
      </c>
      <c r="U8" s="12">
        <v>2</v>
      </c>
      <c r="V8" s="12">
        <v>32</v>
      </c>
      <c r="W8" s="12">
        <v>15</v>
      </c>
      <c r="X8" s="12">
        <v>31</v>
      </c>
      <c r="Y8" s="12">
        <v>2</v>
      </c>
      <c r="Z8" s="12">
        <v>2</v>
      </c>
      <c r="AA8" s="12">
        <v>7</v>
      </c>
      <c r="AB8" s="12">
        <v>8</v>
      </c>
      <c r="AC8" s="12">
        <v>2</v>
      </c>
      <c r="AD8" s="12">
        <v>8</v>
      </c>
      <c r="AE8" s="12">
        <v>0</v>
      </c>
      <c r="AF8" s="12">
        <v>2</v>
      </c>
      <c r="AG8" s="12">
        <v>8</v>
      </c>
      <c r="AH8" s="12">
        <v>6</v>
      </c>
      <c r="AI8" s="12">
        <v>7</v>
      </c>
      <c r="AJ8" s="12">
        <v>1</v>
      </c>
      <c r="AK8" s="12">
        <v>0</v>
      </c>
      <c r="AL8" s="12">
        <v>0</v>
      </c>
      <c r="AM8" s="12">
        <v>20</v>
      </c>
      <c r="AN8" s="12">
        <v>8</v>
      </c>
      <c r="AO8" s="12">
        <v>14</v>
      </c>
      <c r="AP8" s="12">
        <v>20</v>
      </c>
      <c r="AQ8" s="12">
        <v>2</v>
      </c>
      <c r="AR8" s="12">
        <v>40</v>
      </c>
      <c r="AS8" s="12">
        <v>6</v>
      </c>
      <c r="AT8" s="12">
        <v>1</v>
      </c>
      <c r="AU8" s="12">
        <v>14</v>
      </c>
      <c r="AV8" s="12">
        <v>20</v>
      </c>
      <c r="AW8" s="12">
        <v>12</v>
      </c>
      <c r="AX8" s="12">
        <v>0</v>
      </c>
      <c r="AY8" s="12">
        <v>1</v>
      </c>
      <c r="AZ8" s="10">
        <v>550</v>
      </c>
      <c r="BA8" cm="1">
        <f t="array" ref="BA8">SUMPRODUCT(B8:AY8,TRANSPOSE($B$13:$B$62))</f>
        <v>472</v>
      </c>
    </row>
    <row r="9" spans="1:53" x14ac:dyDescent="0.3">
      <c r="A9" s="8" t="s">
        <v>37</v>
      </c>
      <c r="B9" s="9">
        <v>38</v>
      </c>
      <c r="C9" s="9">
        <v>52</v>
      </c>
      <c r="D9" s="9">
        <v>30</v>
      </c>
      <c r="E9" s="9">
        <v>42</v>
      </c>
      <c r="F9" s="9">
        <v>170</v>
      </c>
      <c r="G9" s="9">
        <v>9</v>
      </c>
      <c r="H9" s="9">
        <v>7</v>
      </c>
      <c r="I9" s="9">
        <v>20</v>
      </c>
      <c r="J9" s="9">
        <v>0</v>
      </c>
      <c r="K9" s="9">
        <v>3</v>
      </c>
      <c r="L9" s="9">
        <v>21</v>
      </c>
      <c r="M9" s="9">
        <v>4</v>
      </c>
      <c r="N9" s="9">
        <v>1</v>
      </c>
      <c r="O9" s="9">
        <v>2</v>
      </c>
      <c r="P9" s="9">
        <v>14</v>
      </c>
      <c r="Q9" s="9">
        <v>310</v>
      </c>
      <c r="R9" s="9">
        <v>8</v>
      </c>
      <c r="S9" s="9">
        <v>4</v>
      </c>
      <c r="T9" s="9">
        <v>6</v>
      </c>
      <c r="U9" s="9">
        <v>1</v>
      </c>
      <c r="V9" s="9">
        <v>18</v>
      </c>
      <c r="W9" s="9">
        <v>15</v>
      </c>
      <c r="X9" s="9">
        <v>38</v>
      </c>
      <c r="Y9" s="9">
        <v>10</v>
      </c>
      <c r="Z9" s="9">
        <v>4</v>
      </c>
      <c r="AA9" s="9">
        <v>8</v>
      </c>
      <c r="AB9" s="9">
        <v>6</v>
      </c>
      <c r="AC9" s="9">
        <v>0</v>
      </c>
      <c r="AD9" s="9">
        <v>0</v>
      </c>
      <c r="AE9" s="9">
        <v>3</v>
      </c>
      <c r="AF9" s="9">
        <v>0</v>
      </c>
      <c r="AG9" s="9">
        <v>10</v>
      </c>
      <c r="AH9" s="9">
        <v>6</v>
      </c>
      <c r="AI9" s="9">
        <v>1</v>
      </c>
      <c r="AJ9" s="9">
        <v>3</v>
      </c>
      <c r="AK9" s="9">
        <v>0</v>
      </c>
      <c r="AL9" s="9">
        <v>3</v>
      </c>
      <c r="AM9" s="9">
        <v>5</v>
      </c>
      <c r="AN9" s="9">
        <v>4</v>
      </c>
      <c r="AO9" s="9">
        <v>0</v>
      </c>
      <c r="AP9" s="9">
        <v>30</v>
      </c>
      <c r="AQ9" s="9">
        <v>12</v>
      </c>
      <c r="AR9" s="9">
        <v>16</v>
      </c>
      <c r="AS9" s="9">
        <v>18</v>
      </c>
      <c r="AT9" s="9">
        <v>3</v>
      </c>
      <c r="AU9" s="9">
        <v>16</v>
      </c>
      <c r="AV9" s="9">
        <v>22</v>
      </c>
      <c r="AW9" s="9">
        <v>30</v>
      </c>
      <c r="AX9" s="9">
        <v>4</v>
      </c>
      <c r="AY9" s="9">
        <v>0</v>
      </c>
      <c r="AZ9" s="10">
        <v>650</v>
      </c>
      <c r="BA9" cm="1">
        <f t="array" ref="BA9">SUMPRODUCT(B9:AY9,TRANSPOSE($B$13:$B$62))</f>
        <v>650</v>
      </c>
    </row>
    <row r="13" spans="1:53" x14ac:dyDescent="0.3">
      <c r="A13" t="s">
        <v>3</v>
      </c>
      <c r="B13">
        <v>0</v>
      </c>
    </row>
    <row r="14" spans="1:53" x14ac:dyDescent="0.3">
      <c r="A14" t="s">
        <v>4</v>
      </c>
      <c r="B14">
        <v>0</v>
      </c>
    </row>
    <row r="15" spans="1:53" x14ac:dyDescent="0.3">
      <c r="A15" t="s">
        <v>5</v>
      </c>
      <c r="B15">
        <v>0</v>
      </c>
    </row>
    <row r="16" spans="1:53" x14ac:dyDescent="0.3">
      <c r="A16" t="s">
        <v>6</v>
      </c>
      <c r="B16">
        <v>1</v>
      </c>
    </row>
    <row r="17" spans="1:2" x14ac:dyDescent="0.3">
      <c r="A17" t="s">
        <v>7</v>
      </c>
      <c r="B17">
        <v>0</v>
      </c>
    </row>
    <row r="18" spans="1:2" x14ac:dyDescent="0.3">
      <c r="A18" t="s">
        <v>8</v>
      </c>
      <c r="B18">
        <v>1</v>
      </c>
    </row>
    <row r="19" spans="1:2" x14ac:dyDescent="0.3">
      <c r="A19" t="s">
        <v>9</v>
      </c>
      <c r="B19">
        <v>0</v>
      </c>
    </row>
    <row r="20" spans="1:2" x14ac:dyDescent="0.3">
      <c r="A20" t="s">
        <v>10</v>
      </c>
      <c r="B20">
        <v>1</v>
      </c>
    </row>
    <row r="21" spans="1:2" x14ac:dyDescent="0.3">
      <c r="A21" t="s">
        <v>11</v>
      </c>
      <c r="B21">
        <v>1</v>
      </c>
    </row>
    <row r="22" spans="1:2" x14ac:dyDescent="0.3">
      <c r="A22" t="s">
        <v>12</v>
      </c>
      <c r="B22">
        <v>0</v>
      </c>
    </row>
    <row r="23" spans="1:2" x14ac:dyDescent="0.3">
      <c r="A23" t="s">
        <v>13</v>
      </c>
      <c r="B23">
        <v>1</v>
      </c>
    </row>
    <row r="24" spans="1:2" x14ac:dyDescent="0.3">
      <c r="A24" t="s">
        <v>14</v>
      </c>
      <c r="B24">
        <v>1</v>
      </c>
    </row>
    <row r="25" spans="1:2" x14ac:dyDescent="0.3">
      <c r="A25" t="s">
        <v>15</v>
      </c>
      <c r="B25">
        <v>1</v>
      </c>
    </row>
    <row r="26" spans="1:2" x14ac:dyDescent="0.3">
      <c r="A26" t="s">
        <v>16</v>
      </c>
      <c r="B26">
        <v>0</v>
      </c>
    </row>
    <row r="27" spans="1:2" x14ac:dyDescent="0.3">
      <c r="A27" t="s">
        <v>17</v>
      </c>
      <c r="B27">
        <v>1</v>
      </c>
    </row>
    <row r="28" spans="1:2" x14ac:dyDescent="0.3">
      <c r="A28" t="s">
        <v>18</v>
      </c>
      <c r="B28">
        <v>1</v>
      </c>
    </row>
    <row r="29" spans="1:2" x14ac:dyDescent="0.3">
      <c r="A29" t="s">
        <v>19</v>
      </c>
      <c r="B29">
        <v>1</v>
      </c>
    </row>
    <row r="30" spans="1:2" x14ac:dyDescent="0.3">
      <c r="A30" t="s">
        <v>20</v>
      </c>
      <c r="B30">
        <v>0</v>
      </c>
    </row>
    <row r="31" spans="1:2" x14ac:dyDescent="0.3">
      <c r="A31" t="s">
        <v>21</v>
      </c>
      <c r="B31">
        <v>1</v>
      </c>
    </row>
    <row r="32" spans="1:2" x14ac:dyDescent="0.3">
      <c r="A32" t="s">
        <v>22</v>
      </c>
      <c r="B32">
        <v>1</v>
      </c>
    </row>
    <row r="33" spans="1:2" x14ac:dyDescent="0.3">
      <c r="A33" t="s">
        <v>23</v>
      </c>
      <c r="B33">
        <v>0</v>
      </c>
    </row>
    <row r="34" spans="1:2" x14ac:dyDescent="0.3">
      <c r="A34" t="s">
        <v>24</v>
      </c>
      <c r="B34">
        <v>0</v>
      </c>
    </row>
    <row r="35" spans="1:2" x14ac:dyDescent="0.3">
      <c r="A35" t="s">
        <v>25</v>
      </c>
      <c r="B35">
        <v>1</v>
      </c>
    </row>
    <row r="36" spans="1:2" x14ac:dyDescent="0.3">
      <c r="A36" t="s">
        <v>26</v>
      </c>
      <c r="B36">
        <v>0</v>
      </c>
    </row>
    <row r="37" spans="1:2" x14ac:dyDescent="0.3">
      <c r="A37" t="s">
        <v>27</v>
      </c>
      <c r="B37">
        <v>1</v>
      </c>
    </row>
    <row r="38" spans="1:2" x14ac:dyDescent="0.3">
      <c r="A38" t="s">
        <v>28</v>
      </c>
      <c r="B38">
        <v>1</v>
      </c>
    </row>
    <row r="39" spans="1:2" x14ac:dyDescent="0.3">
      <c r="A39" t="s">
        <v>29</v>
      </c>
      <c r="B39">
        <v>1</v>
      </c>
    </row>
    <row r="40" spans="1:2" x14ac:dyDescent="0.3">
      <c r="A40" t="s">
        <v>30</v>
      </c>
      <c r="B40">
        <v>1</v>
      </c>
    </row>
    <row r="41" spans="1:2" x14ac:dyDescent="0.3">
      <c r="A41" t="s">
        <v>44</v>
      </c>
      <c r="B41">
        <v>1</v>
      </c>
    </row>
    <row r="42" spans="1:2" x14ac:dyDescent="0.3">
      <c r="A42" t="s">
        <v>45</v>
      </c>
      <c r="B42">
        <v>0</v>
      </c>
    </row>
    <row r="43" spans="1:2" x14ac:dyDescent="0.3">
      <c r="A43" t="s">
        <v>46</v>
      </c>
      <c r="B43">
        <v>1</v>
      </c>
    </row>
    <row r="44" spans="1:2" x14ac:dyDescent="0.3">
      <c r="A44" t="s">
        <v>47</v>
      </c>
      <c r="B44">
        <v>1</v>
      </c>
    </row>
    <row r="45" spans="1:2" x14ac:dyDescent="0.3">
      <c r="A45" t="s">
        <v>48</v>
      </c>
      <c r="B45">
        <v>0</v>
      </c>
    </row>
    <row r="46" spans="1:2" x14ac:dyDescent="0.3">
      <c r="A46" t="s">
        <v>49</v>
      </c>
      <c r="B46">
        <v>1</v>
      </c>
    </row>
    <row r="47" spans="1:2" x14ac:dyDescent="0.3">
      <c r="A47" t="s">
        <v>50</v>
      </c>
      <c r="B47">
        <v>1</v>
      </c>
    </row>
    <row r="48" spans="1:2" x14ac:dyDescent="0.3">
      <c r="A48" t="s">
        <v>51</v>
      </c>
      <c r="B48">
        <v>1</v>
      </c>
    </row>
    <row r="49" spans="1:2" x14ac:dyDescent="0.3">
      <c r="A49" t="s">
        <v>52</v>
      </c>
      <c r="B49">
        <v>1</v>
      </c>
    </row>
    <row r="50" spans="1:2" x14ac:dyDescent="0.3">
      <c r="A50" t="s">
        <v>53</v>
      </c>
      <c r="B50">
        <v>1</v>
      </c>
    </row>
    <row r="51" spans="1:2" x14ac:dyDescent="0.3">
      <c r="A51" t="s">
        <v>54</v>
      </c>
      <c r="B51">
        <v>1</v>
      </c>
    </row>
    <row r="52" spans="1:2" x14ac:dyDescent="0.3">
      <c r="A52" t="s">
        <v>56</v>
      </c>
      <c r="B52">
        <v>1</v>
      </c>
    </row>
    <row r="53" spans="1:2" x14ac:dyDescent="0.3">
      <c r="A53" t="s">
        <v>57</v>
      </c>
      <c r="B53">
        <v>1</v>
      </c>
    </row>
    <row r="54" spans="1:2" x14ac:dyDescent="0.3">
      <c r="A54" t="s">
        <v>58</v>
      </c>
      <c r="B54">
        <v>1</v>
      </c>
    </row>
    <row r="55" spans="1:2" x14ac:dyDescent="0.3">
      <c r="A55" t="s">
        <v>59</v>
      </c>
      <c r="B55">
        <v>1</v>
      </c>
    </row>
    <row r="56" spans="1:2" x14ac:dyDescent="0.3">
      <c r="A56" t="s">
        <v>60</v>
      </c>
      <c r="B56">
        <v>1</v>
      </c>
    </row>
    <row r="57" spans="1:2" x14ac:dyDescent="0.3">
      <c r="A57" t="s">
        <v>61</v>
      </c>
      <c r="B57">
        <v>0</v>
      </c>
    </row>
    <row r="58" spans="1:2" x14ac:dyDescent="0.3">
      <c r="A58" t="s">
        <v>62</v>
      </c>
      <c r="B58">
        <v>0</v>
      </c>
    </row>
    <row r="59" spans="1:2" x14ac:dyDescent="0.3">
      <c r="A59" t="s">
        <v>63</v>
      </c>
      <c r="B59">
        <v>1</v>
      </c>
    </row>
    <row r="60" spans="1:2" x14ac:dyDescent="0.3">
      <c r="A60" t="s">
        <v>64</v>
      </c>
      <c r="B60">
        <v>1</v>
      </c>
    </row>
    <row r="61" spans="1:2" x14ac:dyDescent="0.3">
      <c r="A61" t="s">
        <v>65</v>
      </c>
      <c r="B61">
        <v>1</v>
      </c>
    </row>
    <row r="62" spans="1:2" x14ac:dyDescent="0.3">
      <c r="A62" t="s">
        <v>66</v>
      </c>
      <c r="B62">
        <v>1</v>
      </c>
    </row>
    <row r="63" spans="1:2" x14ac:dyDescent="0.3">
      <c r="B63" cm="1">
        <f t="array" ref="B63">SUMPRODUCT(B4:AY4,TRANSPOSE(B13:B62))</f>
        <v>16537</v>
      </c>
    </row>
  </sheetData>
  <mergeCells count="2">
    <mergeCell ref="A1:AZ1"/>
    <mergeCell ref="A2:AZ2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FEA0-5B02-4989-9797-9201AA2AED59}">
  <dimension ref="A1:H8"/>
  <sheetViews>
    <sheetView tabSelected="1" workbookViewId="0">
      <selection activeCell="J7" sqref="J7"/>
    </sheetView>
  </sheetViews>
  <sheetFormatPr defaultRowHeight="14.4" x14ac:dyDescent="0.3"/>
  <cols>
    <col min="2" max="2" width="11.21875" bestFit="1" customWidth="1"/>
    <col min="3" max="3" width="18.21875" bestFit="1" customWidth="1"/>
    <col min="4" max="4" width="10.44140625" bestFit="1" customWidth="1"/>
    <col min="5" max="5" width="12.88671875" bestFit="1" customWidth="1"/>
    <col min="6" max="6" width="20.77734375" bestFit="1" customWidth="1"/>
    <col min="7" max="7" width="30.5546875" bestFit="1" customWidth="1"/>
  </cols>
  <sheetData>
    <row r="1" spans="1:8" x14ac:dyDescent="0.3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 x14ac:dyDescent="0.3">
      <c r="A2">
        <v>1</v>
      </c>
      <c r="B2">
        <v>4134.0740740740748</v>
      </c>
      <c r="C2">
        <v>3200</v>
      </c>
      <c r="D2">
        <v>3800</v>
      </c>
      <c r="E2">
        <f>B2/D2</f>
        <v>1.0879142300194933</v>
      </c>
      <c r="F2">
        <f>C2/D2</f>
        <v>0.84210526315789469</v>
      </c>
      <c r="G2">
        <v>0</v>
      </c>
      <c r="H2" t="str">
        <f>IF(G2=0,"yes","no")</f>
        <v>yes</v>
      </c>
    </row>
    <row r="3" spans="1:8" x14ac:dyDescent="0.3">
      <c r="A3">
        <v>2</v>
      </c>
      <c r="B3">
        <v>9297.7124668435008</v>
      </c>
      <c r="C3">
        <v>9159.2999999999993</v>
      </c>
      <c r="D3">
        <v>8650.1</v>
      </c>
      <c r="E3">
        <f t="shared" ref="E3:E8" si="0">B3/D3</f>
        <v>1.0748676277549971</v>
      </c>
      <c r="F3">
        <f t="shared" ref="F3:F8" si="1">C3/D3</f>
        <v>1.0588663714870348</v>
      </c>
      <c r="G3">
        <f>2/10</f>
        <v>0.2</v>
      </c>
      <c r="H3" t="str">
        <f t="shared" ref="H3:H8" si="2">IF(G3=0,"yes","no")</f>
        <v>no</v>
      </c>
    </row>
    <row r="4" spans="1:8" x14ac:dyDescent="0.3">
      <c r="A4">
        <v>3</v>
      </c>
      <c r="B4">
        <v>4127.8865979381444</v>
      </c>
      <c r="C4">
        <v>4105</v>
      </c>
      <c r="D4">
        <v>4015</v>
      </c>
      <c r="E4">
        <f t="shared" si="0"/>
        <v>1.028116213683224</v>
      </c>
      <c r="F4">
        <f t="shared" si="1"/>
        <v>1.0224159402241595</v>
      </c>
      <c r="G4">
        <f>1/10</f>
        <v>0.1</v>
      </c>
      <c r="H4" t="str">
        <f t="shared" si="2"/>
        <v>no</v>
      </c>
    </row>
    <row r="5" spans="1:8" x14ac:dyDescent="0.3">
      <c r="A5">
        <v>4</v>
      </c>
      <c r="B5">
        <v>6155.333333333333</v>
      </c>
      <c r="C5">
        <v>5920</v>
      </c>
      <c r="D5">
        <v>6120</v>
      </c>
      <c r="E5">
        <f t="shared" si="0"/>
        <v>1.0057734204793027</v>
      </c>
      <c r="F5">
        <f t="shared" si="1"/>
        <v>0.9673202614379085</v>
      </c>
      <c r="G5">
        <v>0</v>
      </c>
      <c r="H5" t="str">
        <f t="shared" si="2"/>
        <v>yes</v>
      </c>
    </row>
    <row r="6" spans="1:8" x14ac:dyDescent="0.3">
      <c r="A6">
        <v>5</v>
      </c>
      <c r="B6">
        <v>12462.104166666666</v>
      </c>
      <c r="C6">
        <v>12440</v>
      </c>
      <c r="D6">
        <v>12400</v>
      </c>
      <c r="E6">
        <f t="shared" si="0"/>
        <v>1.0050084005376343</v>
      </c>
      <c r="F6">
        <f t="shared" si="1"/>
        <v>1.0032258064516129</v>
      </c>
      <c r="G6">
        <f>1/10</f>
        <v>0.1</v>
      </c>
      <c r="H6" t="str">
        <f t="shared" si="2"/>
        <v>no</v>
      </c>
    </row>
    <row r="7" spans="1:8" x14ac:dyDescent="0.3">
      <c r="A7">
        <v>6</v>
      </c>
      <c r="B7">
        <v>10672.34587816776</v>
      </c>
      <c r="C7">
        <v>11403</v>
      </c>
      <c r="D7">
        <v>10618</v>
      </c>
      <c r="E7">
        <f t="shared" si="0"/>
        <v>1.0051182782226182</v>
      </c>
      <c r="F7">
        <f t="shared" si="1"/>
        <v>1.0739310604633641</v>
      </c>
      <c r="G7">
        <f>4/5</f>
        <v>0.8</v>
      </c>
      <c r="H7" t="str">
        <f t="shared" si="2"/>
        <v>no</v>
      </c>
    </row>
    <row r="8" spans="1:8" x14ac:dyDescent="0.3">
      <c r="A8">
        <v>7</v>
      </c>
      <c r="B8">
        <v>16612.821234119783</v>
      </c>
      <c r="C8">
        <v>16235</v>
      </c>
      <c r="D8">
        <v>16537</v>
      </c>
      <c r="E8">
        <f t="shared" si="0"/>
        <v>1.0045849449186541</v>
      </c>
      <c r="F8">
        <f t="shared" si="1"/>
        <v>0.981737921025579</v>
      </c>
      <c r="G8">
        <v>0</v>
      </c>
      <c r="H8" t="str">
        <f t="shared" si="2"/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1-lp</vt:lpstr>
      <vt:lpstr>1-ip</vt:lpstr>
      <vt:lpstr>2-lp</vt:lpstr>
      <vt:lpstr>2-ip</vt:lpstr>
      <vt:lpstr>3-lp</vt:lpstr>
      <vt:lpstr>3-ip</vt:lpstr>
      <vt:lpstr>4-lp</vt:lpstr>
      <vt:lpstr>4-ip</vt:lpstr>
      <vt:lpstr>5-lp</vt:lpstr>
      <vt:lpstr>5-ip</vt:lpstr>
      <vt:lpstr>6-lp</vt:lpstr>
      <vt:lpstr>6-ip</vt:lpstr>
      <vt:lpstr>7-lp</vt:lpstr>
      <vt:lpstr>7-ip</vt:lpstr>
      <vt:lpstr>Benchmark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Thiyagarajan</dc:creator>
  <cp:lastModifiedBy>Vishal Thiyagarajan</cp:lastModifiedBy>
  <dcterms:created xsi:type="dcterms:W3CDTF">2026-05-29T12:57:36Z</dcterms:created>
  <dcterms:modified xsi:type="dcterms:W3CDTF">2026-05-29T16:39:52Z</dcterms:modified>
</cp:coreProperties>
</file>